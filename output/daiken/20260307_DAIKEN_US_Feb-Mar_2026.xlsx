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📊 5W Summary" sheetId="1" state="visible" r:id="rId1"/>
    <sheet name="📋 Weekly Raw Data" sheetId="2" state="visible" r:id="rId2"/>
    <sheet name="🔍 Child ASIN Detail" sheetId="3" state="visible" r:id="rId3"/>
    <sheet name="📈 WoW Change" sheetId="4" state="visible" r:id="rId4"/>
    <sheet name="🎯 SB Attribution" sheetId="5" state="visible" r:id="rId5"/>
    <sheet name="🎯 產品象限" sheetId="6" state="visible" r:id="rId6"/>
    <sheet name="✅ 行動方案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0.0%"/>
    <numFmt numFmtId="165" formatCode="0.0"/>
    <numFmt numFmtId="166" formatCode="+0.0%;-0.0%;0.0%"/>
  </numFmts>
  <fonts count="17">
    <font>
      <name val="Calibri"/>
      <family val="2"/>
      <color theme="1"/>
      <sz val="11"/>
      <scheme val="minor"/>
    </font>
    <font>
      <name val="Arial"/>
      <b val="1"/>
      <color rgb="000f172a"/>
      <sz val="12"/>
    </font>
    <font>
      <name val="Arial"/>
      <b val="1"/>
      <color rgb="000f172a"/>
      <sz val="9"/>
    </font>
    <font>
      <name val="Arial"/>
      <b val="1"/>
      <color rgb="00FFFFFF"/>
      <sz val="9"/>
    </font>
    <font>
      <name val="Arial"/>
      <b val="1"/>
      <color rgb="000f172a"/>
      <sz val="10"/>
    </font>
    <font>
      <name val="Arial"/>
      <color rgb="0064748b"/>
      <sz val="9"/>
    </font>
    <font>
      <name val="Arial"/>
      <color rgb="000f172a"/>
      <sz val="9"/>
    </font>
    <font>
      <name val="Arial"/>
      <b val="1"/>
      <color rgb="0015803d"/>
      <sz val="9"/>
    </font>
    <font>
      <name val="Arial"/>
      <b val="1"/>
      <color rgb="00dc2626"/>
      <sz val="9"/>
    </font>
    <font>
      <name val="Arial"/>
      <b val="1"/>
      <color rgb="00b45309"/>
      <sz val="9"/>
    </font>
    <font>
      <name val="Arial"/>
      <b val="1"/>
      <color rgb="000f172a"/>
      <sz val="11"/>
    </font>
    <font>
      <name val="Arial"/>
      <b val="1"/>
      <color rgb="00FFFFFF"/>
      <sz val="10"/>
    </font>
    <font>
      <name val="Arial"/>
      <b val="1"/>
      <color rgb="00FFFFFF"/>
      <sz val="8"/>
    </font>
    <font>
      <name val="Arial"/>
      <b val="1"/>
      <color rgb="000f172a"/>
      <sz val="8"/>
    </font>
    <font>
      <name val="Arial"/>
      <b val="1"/>
      <color rgb="0016a34a"/>
      <sz val="9"/>
    </font>
    <font>
      <name val="Arial"/>
      <b val="1"/>
      <color rgb="00d97706"/>
      <sz val="9"/>
    </font>
    <font>
      <name val="Arial"/>
      <b val="1"/>
      <color rgb="002563eb"/>
      <sz val="9"/>
    </font>
  </fonts>
  <fills count="32">
    <fill>
      <patternFill/>
    </fill>
    <fill>
      <patternFill patternType="gray125"/>
    </fill>
    <fill>
      <patternFill patternType="solid">
        <fgColor rgb="00f1f5f9"/>
        <bgColor rgb="00f1f5f9"/>
      </patternFill>
    </fill>
    <fill>
      <patternFill patternType="solid">
        <fgColor rgb="00bfdbfe"/>
        <bgColor rgb="00bfdbfe"/>
      </patternFill>
    </fill>
    <fill>
      <patternFill patternType="solid">
        <fgColor rgb="00bbf7d0"/>
        <bgColor rgb="00bbf7d0"/>
      </patternFill>
    </fill>
    <fill>
      <patternFill patternType="solid">
        <fgColor rgb="00fef08a"/>
        <bgColor rgb="00fef08a"/>
      </patternFill>
    </fill>
    <fill>
      <patternFill patternType="solid">
        <fgColor rgb="00fed7aa"/>
        <bgColor rgb="00fed7aa"/>
      </patternFill>
    </fill>
    <fill>
      <patternFill patternType="solid">
        <fgColor rgb="00e9d5ff"/>
        <bgColor rgb="00e9d5ff"/>
      </patternFill>
    </fill>
    <fill>
      <patternFill patternType="solid">
        <fgColor rgb="001e3a5f"/>
        <bgColor rgb="001e3a5f"/>
      </patternFill>
    </fill>
    <fill>
      <patternFill patternType="solid">
        <fgColor rgb="00f8fafc"/>
        <bgColor rgb="00f8fafc"/>
      </patternFill>
    </fill>
    <fill>
      <patternFill patternType="solid">
        <fgColor rgb="00eff6ff"/>
        <bgColor rgb="00eff6ff"/>
      </patternFill>
    </fill>
    <fill>
      <patternFill patternType="solid">
        <fgColor rgb="00f0fdf4"/>
        <bgColor rgb="00f0fdf4"/>
      </patternFill>
    </fill>
    <fill>
      <patternFill patternType="solid">
        <fgColor rgb="00fefce8"/>
        <bgColor rgb="00fefce8"/>
      </patternFill>
    </fill>
    <fill>
      <patternFill patternType="solid">
        <fgColor rgb="00fff7ed"/>
        <bgColor rgb="00fff7ed"/>
      </patternFill>
    </fill>
    <fill>
      <patternFill patternType="solid">
        <fgColor rgb="00fdf4ff"/>
        <bgColor rgb="00fdf4ff"/>
      </patternFill>
    </fill>
    <fill>
      <patternFill patternType="solid">
        <fgColor rgb="00e0f2fe"/>
        <bgColor rgb="00e0f2fe"/>
      </patternFill>
    </fill>
    <fill>
      <patternFill patternType="solid">
        <fgColor rgb="00ffffff"/>
        <bgColor rgb="00ffffff"/>
      </patternFill>
    </fill>
    <fill>
      <patternFill patternType="solid">
        <fgColor rgb="001e293b"/>
        <bgColor rgb="001e293b"/>
      </patternFill>
    </fill>
    <fill>
      <patternFill patternType="solid">
        <fgColor rgb="001e40af"/>
        <bgColor rgb="001e40af"/>
      </patternFill>
    </fill>
    <fill>
      <patternFill patternType="solid">
        <fgColor rgb="00e2e8f0"/>
        <bgColor rgb="00e2e8f0"/>
      </patternFill>
    </fill>
    <fill>
      <patternFill patternType="solid">
        <fgColor rgb="00dbeafe"/>
        <bgColor rgb="00dbeafe"/>
      </patternFill>
    </fill>
    <fill>
      <patternFill patternType="solid">
        <fgColor rgb="00dcfce7"/>
        <bgColor rgb="00dcfce7"/>
      </patternFill>
    </fill>
    <fill>
      <patternFill patternType="solid">
        <fgColor rgb="00fef9c3"/>
        <bgColor rgb="00fef9c3"/>
      </patternFill>
    </fill>
    <fill>
      <patternFill patternType="solid">
        <fgColor rgb="00ffe4e6"/>
        <bgColor rgb="00ffe4e6"/>
      </patternFill>
    </fill>
    <fill>
      <patternFill patternType="solid">
        <fgColor rgb="0016a34a"/>
        <bgColor rgb="0016a34a"/>
      </patternFill>
    </fill>
    <fill>
      <patternFill patternType="solid">
        <fgColor rgb="00d97706"/>
        <bgColor rgb="00d97706"/>
      </patternFill>
    </fill>
    <fill>
      <patternFill patternType="solid">
        <fgColor rgb="00dc2626"/>
        <bgColor rgb="00dc2626"/>
      </patternFill>
    </fill>
    <fill>
      <patternFill patternType="solid">
        <fgColor rgb="002563eb"/>
        <bgColor rgb="002563eb"/>
      </patternFill>
    </fill>
    <fill>
      <patternFill patternType="solid">
        <fgColor rgb="00e6f4ea"/>
        <bgColor rgb="00e6f4ea"/>
      </patternFill>
    </fill>
    <fill>
      <patternFill patternType="solid">
        <fgColor rgb="00fff8e1"/>
        <bgColor rgb="00fff8e1"/>
      </patternFill>
    </fill>
    <fill>
      <patternFill patternType="solid">
        <fgColor rgb="00fdecea"/>
        <bgColor rgb="00fdecea"/>
      </patternFill>
    </fill>
    <fill>
      <patternFill patternType="solid">
        <fgColor rgb="00e3f2fd"/>
        <bgColor rgb="00e3f2f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39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2" fillId="4" borderId="0" applyAlignment="1" pivotButton="0" quotePrefix="0" xfId="0">
      <alignment horizontal="center" vertical="center"/>
    </xf>
    <xf numFmtId="0" fontId="2" fillId="5" borderId="0" applyAlignment="1" pivotButton="0" quotePrefix="0" xfId="0">
      <alignment horizontal="center" vertical="center"/>
    </xf>
    <xf numFmtId="0" fontId="2" fillId="6" borderId="0" applyAlignment="1" pivotButton="0" quotePrefix="0" xfId="0">
      <alignment horizontal="center" vertical="center"/>
    </xf>
    <xf numFmtId="0" fontId="2" fillId="7" borderId="0" applyAlignment="1" pivotButton="0" quotePrefix="0" xfId="0">
      <alignment horizontal="center" vertical="center"/>
    </xf>
    <xf numFmtId="0" fontId="3" fillId="8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left" vertical="center"/>
    </xf>
    <xf numFmtId="0" fontId="4" fillId="9" borderId="0" applyAlignment="1" pivotButton="0" quotePrefix="0" xfId="0">
      <alignment horizontal="left" vertical="center"/>
    </xf>
    <xf numFmtId="0" fontId="5" fillId="9" borderId="0" applyAlignment="1" pivotButton="0" quotePrefix="0" xfId="0">
      <alignment horizontal="center" vertical="center"/>
    </xf>
    <xf numFmtId="3" fontId="6" fillId="10" borderId="0" applyAlignment="1" pivotButton="0" quotePrefix="0" xfId="0">
      <alignment horizontal="right" vertical="center"/>
    </xf>
    <xf numFmtId="164" fontId="7" fillId="10" borderId="0" applyAlignment="1" pivotButton="0" quotePrefix="0" xfId="0">
      <alignment horizontal="right" vertical="center"/>
    </xf>
    <xf numFmtId="3" fontId="6" fillId="11" borderId="0" applyAlignment="1" pivotButton="0" quotePrefix="0" xfId="0">
      <alignment horizontal="right" vertical="center"/>
    </xf>
    <xf numFmtId="164" fontId="7" fillId="11" borderId="0" applyAlignment="1" pivotButton="0" quotePrefix="0" xfId="0">
      <alignment horizontal="right" vertical="center"/>
    </xf>
    <xf numFmtId="3" fontId="6" fillId="12" borderId="0" applyAlignment="1" pivotButton="0" quotePrefix="0" xfId="0">
      <alignment horizontal="right" vertical="center"/>
    </xf>
    <xf numFmtId="164" fontId="7" fillId="12" borderId="0" applyAlignment="1" pivotButton="0" quotePrefix="0" xfId="0">
      <alignment horizontal="right" vertical="center"/>
    </xf>
    <xf numFmtId="3" fontId="6" fillId="13" borderId="0" applyAlignment="1" pivotButton="0" quotePrefix="0" xfId="0">
      <alignment horizontal="right" vertical="center"/>
    </xf>
    <xf numFmtId="164" fontId="7" fillId="13" borderId="0" applyAlignment="1" pivotButton="0" quotePrefix="0" xfId="0">
      <alignment horizontal="right" vertical="center"/>
    </xf>
    <xf numFmtId="3" fontId="6" fillId="14" borderId="0" applyAlignment="1" pivotButton="0" quotePrefix="0" xfId="0">
      <alignment horizontal="right" vertical="center"/>
    </xf>
    <xf numFmtId="164" fontId="7" fillId="14" borderId="0" applyAlignment="1" pivotButton="0" quotePrefix="0" xfId="0">
      <alignment horizontal="right" vertical="center"/>
    </xf>
    <xf numFmtId="3" fontId="4" fillId="15" borderId="0" applyAlignment="1" pivotButton="0" quotePrefix="0" xfId="0">
      <alignment horizontal="right" vertical="center"/>
    </xf>
    <xf numFmtId="164" fontId="7" fillId="15" borderId="0" applyAlignment="1" pivotButton="0" quotePrefix="0" xfId="0">
      <alignment horizontal="right" vertical="center"/>
    </xf>
    <xf numFmtId="0" fontId="4" fillId="16" borderId="0" applyAlignment="1" pivotButton="0" quotePrefix="0" xfId="0">
      <alignment horizontal="left" vertical="center"/>
    </xf>
    <xf numFmtId="0" fontId="5" fillId="16" borderId="0" applyAlignment="1" pivotButton="0" quotePrefix="0" xfId="0">
      <alignment horizontal="center" vertical="center"/>
    </xf>
    <xf numFmtId="164" fontId="8" fillId="10" borderId="0" applyAlignment="1" pivotButton="0" quotePrefix="0" xfId="0">
      <alignment horizontal="right" vertical="center"/>
    </xf>
    <xf numFmtId="164" fontId="8" fillId="11" borderId="0" applyAlignment="1" pivotButton="0" quotePrefix="0" xfId="0">
      <alignment horizontal="right" vertical="center"/>
    </xf>
    <xf numFmtId="164" fontId="8" fillId="12" borderId="0" applyAlignment="1" pivotButton="0" quotePrefix="0" xfId="0">
      <alignment horizontal="right" vertical="center"/>
    </xf>
    <xf numFmtId="164" fontId="8" fillId="13" borderId="0" applyAlignment="1" pivotButton="0" quotePrefix="0" xfId="0">
      <alignment horizontal="right" vertical="center"/>
    </xf>
    <xf numFmtId="164" fontId="8" fillId="14" borderId="0" applyAlignment="1" pivotButton="0" quotePrefix="0" xfId="0">
      <alignment horizontal="right" vertical="center"/>
    </xf>
    <xf numFmtId="164" fontId="9" fillId="10" borderId="0" applyAlignment="1" pivotButton="0" quotePrefix="0" xfId="0">
      <alignment horizontal="right" vertical="center"/>
    </xf>
    <xf numFmtId="164" fontId="9" fillId="13" borderId="0" applyAlignment="1" pivotButton="0" quotePrefix="0" xfId="0">
      <alignment horizontal="right" vertical="center"/>
    </xf>
    <xf numFmtId="164" fontId="9" fillId="12" borderId="0" applyAlignment="1" pivotButton="0" quotePrefix="0" xfId="0">
      <alignment horizontal="right" vertical="center"/>
    </xf>
    <xf numFmtId="164" fontId="9" fillId="14" borderId="0" applyAlignment="1" pivotButton="0" quotePrefix="0" xfId="0">
      <alignment horizontal="right" vertical="center"/>
    </xf>
    <xf numFmtId="164" fontId="9" fillId="11" borderId="0" applyAlignment="1" pivotButton="0" quotePrefix="0" xfId="0">
      <alignment horizontal="right" vertical="center"/>
    </xf>
    <xf numFmtId="49" fontId="5" fillId="12" borderId="0" applyAlignment="1" pivotButton="0" quotePrefix="0" xfId="0">
      <alignment horizontal="right" vertical="center"/>
    </xf>
    <xf numFmtId="0" fontId="3" fillId="17" borderId="0" applyAlignment="1" pivotButton="0" quotePrefix="0" xfId="0">
      <alignment horizontal="left" vertical="center"/>
    </xf>
    <xf numFmtId="3" fontId="3" fillId="17" borderId="0" applyAlignment="1" pivotButton="0" quotePrefix="0" xfId="0">
      <alignment horizontal="right" vertical="center"/>
    </xf>
    <xf numFmtId="164" fontId="3" fillId="17" borderId="0" applyAlignment="1" pivotButton="0" quotePrefix="0" xfId="0">
      <alignment horizontal="right" vertical="center"/>
    </xf>
    <xf numFmtId="0" fontId="10" fillId="2" borderId="0" applyAlignment="1" pivotButton="0" quotePrefix="0" xfId="0">
      <alignment horizontal="left" vertical="center"/>
    </xf>
    <xf numFmtId="0" fontId="11" fillId="18" borderId="0" applyAlignment="1" pivotButton="0" quotePrefix="0" xfId="0">
      <alignment horizontal="center" vertical="center"/>
    </xf>
    <xf numFmtId="0" fontId="6" fillId="10" borderId="0" applyAlignment="1" pivotButton="0" quotePrefix="0" xfId="0">
      <alignment horizontal="left" vertical="center"/>
    </xf>
    <xf numFmtId="0" fontId="5" fillId="10" borderId="0" applyAlignment="1" pivotButton="0" quotePrefix="0" xfId="0">
      <alignment horizontal="center" vertical="center"/>
    </xf>
    <xf numFmtId="0" fontId="2" fillId="10" borderId="0" applyAlignment="1" pivotButton="0" quotePrefix="0" xfId="0">
      <alignment horizontal="center" vertical="center"/>
    </xf>
    <xf numFmtId="4" fontId="6" fillId="10" borderId="0" applyAlignment="1" pivotButton="0" quotePrefix="0" xfId="0">
      <alignment horizontal="right" vertical="center"/>
    </xf>
    <xf numFmtId="165" fontId="7" fillId="10" borderId="0" applyAlignment="1" pivotButton="0" quotePrefix="0" xfId="0">
      <alignment horizontal="right" vertical="center"/>
    </xf>
    <xf numFmtId="165" fontId="5" fillId="10" borderId="0" applyAlignment="1" pivotButton="0" quotePrefix="0" xfId="0">
      <alignment horizontal="right" vertical="center"/>
    </xf>
    <xf numFmtId="4" fontId="5" fillId="10" borderId="0" applyAlignment="1" pivotButton="0" quotePrefix="0" xfId="0">
      <alignment horizontal="right" vertical="center"/>
    </xf>
    <xf numFmtId="0" fontId="6" fillId="11" borderId="0" applyAlignment="1" pivotButton="0" quotePrefix="0" xfId="0">
      <alignment horizontal="left" vertical="center"/>
    </xf>
    <xf numFmtId="0" fontId="5" fillId="11" borderId="0" applyAlignment="1" pivotButton="0" quotePrefix="0" xfId="0">
      <alignment horizontal="center" vertical="center"/>
    </xf>
    <xf numFmtId="0" fontId="2" fillId="11" borderId="0" applyAlignment="1" pivotButton="0" quotePrefix="0" xfId="0">
      <alignment horizontal="center" vertical="center"/>
    </xf>
    <xf numFmtId="4" fontId="6" fillId="11" borderId="0" applyAlignment="1" pivotButton="0" quotePrefix="0" xfId="0">
      <alignment horizontal="right" vertical="center"/>
    </xf>
    <xf numFmtId="165" fontId="7" fillId="11" borderId="0" applyAlignment="1" pivotButton="0" quotePrefix="0" xfId="0">
      <alignment horizontal="right" vertical="center"/>
    </xf>
    <xf numFmtId="165" fontId="5" fillId="11" borderId="0" applyAlignment="1" pivotButton="0" quotePrefix="0" xfId="0">
      <alignment horizontal="right" vertical="center"/>
    </xf>
    <xf numFmtId="4" fontId="5" fillId="11" borderId="0" applyAlignment="1" pivotButton="0" quotePrefix="0" xfId="0">
      <alignment horizontal="right" vertical="center"/>
    </xf>
    <xf numFmtId="0" fontId="6" fillId="12" borderId="0" applyAlignment="1" pivotButton="0" quotePrefix="0" xfId="0">
      <alignment horizontal="left" vertical="center"/>
    </xf>
    <xf numFmtId="0" fontId="5" fillId="12" borderId="0" applyAlignment="1" pivotButton="0" quotePrefix="0" xfId="0">
      <alignment horizontal="center" vertical="center"/>
    </xf>
    <xf numFmtId="0" fontId="2" fillId="12" borderId="0" applyAlignment="1" pivotButton="0" quotePrefix="0" xfId="0">
      <alignment horizontal="center" vertical="center"/>
    </xf>
    <xf numFmtId="4" fontId="6" fillId="12" borderId="0" applyAlignment="1" pivotButton="0" quotePrefix="0" xfId="0">
      <alignment horizontal="right" vertical="center"/>
    </xf>
    <xf numFmtId="165" fontId="7" fillId="12" borderId="0" applyAlignment="1" pivotButton="0" quotePrefix="0" xfId="0">
      <alignment horizontal="right" vertical="center"/>
    </xf>
    <xf numFmtId="165" fontId="5" fillId="12" borderId="0" applyAlignment="1" pivotButton="0" quotePrefix="0" xfId="0">
      <alignment horizontal="right" vertical="center"/>
    </xf>
    <xf numFmtId="4" fontId="5" fillId="12" borderId="0" applyAlignment="1" pivotButton="0" quotePrefix="0" xfId="0">
      <alignment horizontal="right" vertical="center"/>
    </xf>
    <xf numFmtId="0" fontId="6" fillId="13" borderId="0" applyAlignment="1" pivotButton="0" quotePrefix="0" xfId="0">
      <alignment horizontal="left" vertical="center"/>
    </xf>
    <xf numFmtId="0" fontId="5" fillId="13" borderId="0" applyAlignment="1" pivotButton="0" quotePrefix="0" xfId="0">
      <alignment horizontal="center" vertical="center"/>
    </xf>
    <xf numFmtId="0" fontId="2" fillId="13" borderId="0" applyAlignment="1" pivotButton="0" quotePrefix="0" xfId="0">
      <alignment horizontal="center" vertical="center"/>
    </xf>
    <xf numFmtId="4" fontId="6" fillId="13" borderId="0" applyAlignment="1" pivotButton="0" quotePrefix="0" xfId="0">
      <alignment horizontal="right" vertical="center"/>
    </xf>
    <xf numFmtId="165" fontId="7" fillId="13" borderId="0" applyAlignment="1" pivotButton="0" quotePrefix="0" xfId="0">
      <alignment horizontal="right" vertical="center"/>
    </xf>
    <xf numFmtId="165" fontId="5" fillId="13" borderId="0" applyAlignment="1" pivotButton="0" quotePrefix="0" xfId="0">
      <alignment horizontal="right" vertical="center"/>
    </xf>
    <xf numFmtId="4" fontId="5" fillId="13" borderId="0" applyAlignment="1" pivotButton="0" quotePrefix="0" xfId="0">
      <alignment horizontal="right" vertical="center"/>
    </xf>
    <xf numFmtId="0" fontId="6" fillId="14" borderId="0" applyAlignment="1" pivotButton="0" quotePrefix="0" xfId="0">
      <alignment horizontal="left" vertical="center"/>
    </xf>
    <xf numFmtId="0" fontId="5" fillId="14" borderId="0" applyAlignment="1" pivotButton="0" quotePrefix="0" xfId="0">
      <alignment horizontal="center" vertical="center"/>
    </xf>
    <xf numFmtId="0" fontId="2" fillId="14" borderId="0" applyAlignment="1" pivotButton="0" quotePrefix="0" xfId="0">
      <alignment horizontal="center" vertical="center"/>
    </xf>
    <xf numFmtId="4" fontId="6" fillId="14" borderId="0" applyAlignment="1" pivotButton="0" quotePrefix="0" xfId="0">
      <alignment horizontal="right" vertical="center"/>
    </xf>
    <xf numFmtId="165" fontId="7" fillId="14" borderId="0" applyAlignment="1" pivotButton="0" quotePrefix="0" xfId="0">
      <alignment horizontal="right" vertical="center"/>
    </xf>
    <xf numFmtId="165" fontId="5" fillId="14" borderId="0" applyAlignment="1" pivotButton="0" quotePrefix="0" xfId="0">
      <alignment horizontal="right" vertical="center"/>
    </xf>
    <xf numFmtId="4" fontId="5" fillId="14" borderId="0" applyAlignment="1" pivotButton="0" quotePrefix="0" xfId="0">
      <alignment horizontal="right" vertical="center"/>
    </xf>
    <xf numFmtId="0" fontId="2" fillId="19" borderId="0" applyAlignment="1" pivotButton="0" quotePrefix="0" xfId="0">
      <alignment horizontal="left" vertical="center"/>
    </xf>
    <xf numFmtId="0" fontId="5" fillId="19" borderId="0" applyAlignment="1" pivotButton="0" quotePrefix="0" xfId="0">
      <alignment horizontal="center" vertical="center"/>
    </xf>
    <xf numFmtId="0" fontId="2" fillId="19" borderId="0" applyAlignment="1" pivotButton="0" quotePrefix="0" xfId="0">
      <alignment horizontal="center" vertical="center"/>
    </xf>
    <xf numFmtId="4" fontId="4" fillId="19" borderId="0" applyAlignment="1" pivotButton="0" quotePrefix="0" xfId="0">
      <alignment horizontal="right" vertical="center"/>
    </xf>
    <xf numFmtId="3" fontId="4" fillId="19" borderId="0" applyAlignment="1" pivotButton="0" quotePrefix="0" xfId="0">
      <alignment horizontal="right" vertical="center"/>
    </xf>
    <xf numFmtId="165" fontId="2" fillId="19" borderId="0" applyAlignment="1" pivotButton="0" quotePrefix="0" xfId="0">
      <alignment horizontal="right" vertical="center"/>
    </xf>
    <xf numFmtId="4" fontId="2" fillId="19" borderId="0" applyAlignment="1" pivotButton="0" quotePrefix="0" xfId="0">
      <alignment horizontal="right" vertical="center"/>
    </xf>
    <xf numFmtId="4" fontId="8" fillId="10" borderId="0" applyAlignment="1" pivotButton="0" quotePrefix="0" xfId="0">
      <alignment horizontal="right" vertical="center"/>
    </xf>
    <xf numFmtId="165" fontId="8" fillId="10" borderId="0" applyAlignment="1" pivotButton="0" quotePrefix="0" xfId="0">
      <alignment horizontal="right" vertical="center"/>
    </xf>
    <xf numFmtId="4" fontId="8" fillId="11" borderId="0" applyAlignment="1" pivotButton="0" quotePrefix="0" xfId="0">
      <alignment horizontal="right" vertical="center"/>
    </xf>
    <xf numFmtId="165" fontId="8" fillId="11" borderId="0" applyAlignment="1" pivotButton="0" quotePrefix="0" xfId="0">
      <alignment horizontal="right" vertical="center"/>
    </xf>
    <xf numFmtId="4" fontId="8" fillId="12" borderId="0" applyAlignment="1" pivotButton="0" quotePrefix="0" xfId="0">
      <alignment horizontal="right" vertical="center"/>
    </xf>
    <xf numFmtId="165" fontId="8" fillId="12" borderId="0" applyAlignment="1" pivotButton="0" quotePrefix="0" xfId="0">
      <alignment horizontal="right" vertical="center"/>
    </xf>
    <xf numFmtId="4" fontId="8" fillId="13" borderId="0" applyAlignment="1" pivotButton="0" quotePrefix="0" xfId="0">
      <alignment horizontal="right" vertical="center"/>
    </xf>
    <xf numFmtId="165" fontId="8" fillId="13" borderId="0" applyAlignment="1" pivotButton="0" quotePrefix="0" xfId="0">
      <alignment horizontal="right" vertical="center"/>
    </xf>
    <xf numFmtId="4" fontId="8" fillId="14" borderId="0" applyAlignment="1" pivotButton="0" quotePrefix="0" xfId="0">
      <alignment horizontal="right" vertical="center"/>
    </xf>
    <xf numFmtId="165" fontId="8" fillId="14" borderId="0" applyAlignment="1" pivotButton="0" quotePrefix="0" xfId="0">
      <alignment horizontal="right" vertical="center"/>
    </xf>
    <xf numFmtId="165" fontId="9" fillId="10" borderId="0" applyAlignment="1" pivotButton="0" quotePrefix="0" xfId="0">
      <alignment horizontal="right" vertical="center"/>
    </xf>
    <xf numFmtId="165" fontId="9" fillId="13" borderId="0" applyAlignment="1" pivotButton="0" quotePrefix="0" xfId="0">
      <alignment horizontal="right" vertical="center"/>
    </xf>
    <xf numFmtId="165" fontId="9" fillId="12" borderId="0" applyAlignment="1" pivotButton="0" quotePrefix="0" xfId="0">
      <alignment horizontal="right" vertical="center"/>
    </xf>
    <xf numFmtId="165" fontId="9" fillId="14" borderId="0" applyAlignment="1" pivotButton="0" quotePrefix="0" xfId="0">
      <alignment horizontal="right" vertical="center"/>
    </xf>
    <xf numFmtId="165" fontId="9" fillId="11" borderId="0" applyAlignment="1" pivotButton="0" quotePrefix="0" xfId="0">
      <alignment horizontal="right" vertical="center"/>
    </xf>
    <xf numFmtId="0" fontId="5" fillId="10" borderId="0" applyAlignment="1" pivotButton="0" quotePrefix="0" xfId="0">
      <alignment horizontal="left" vertical="center"/>
    </xf>
    <xf numFmtId="164" fontId="6" fillId="10" borderId="0" applyAlignment="1" pivotButton="0" quotePrefix="0" xfId="0">
      <alignment horizontal="right" vertical="center"/>
    </xf>
    <xf numFmtId="3" fontId="5" fillId="10" borderId="0" applyAlignment="1" pivotButton="0" quotePrefix="0" xfId="0">
      <alignment horizontal="right" vertical="center"/>
    </xf>
    <xf numFmtId="0" fontId="5" fillId="11" borderId="0" applyAlignment="1" pivotButton="0" quotePrefix="0" xfId="0">
      <alignment horizontal="left" vertical="center"/>
    </xf>
    <xf numFmtId="164" fontId="6" fillId="11" borderId="0" applyAlignment="1" pivotButton="0" quotePrefix="0" xfId="0">
      <alignment horizontal="right" vertical="center"/>
    </xf>
    <xf numFmtId="3" fontId="5" fillId="11" borderId="0" applyAlignment="1" pivotButton="0" quotePrefix="0" xfId="0">
      <alignment horizontal="right" vertical="center"/>
    </xf>
    <xf numFmtId="0" fontId="5" fillId="12" borderId="0" applyAlignment="1" pivotButton="0" quotePrefix="0" xfId="0">
      <alignment horizontal="left" vertical="center"/>
    </xf>
    <xf numFmtId="164" fontId="6" fillId="12" borderId="0" applyAlignment="1" pivotButton="0" quotePrefix="0" xfId="0">
      <alignment horizontal="right" vertical="center"/>
    </xf>
    <xf numFmtId="3" fontId="5" fillId="12" borderId="0" applyAlignment="1" pivotButton="0" quotePrefix="0" xfId="0">
      <alignment horizontal="right" vertical="center"/>
    </xf>
    <xf numFmtId="0" fontId="5" fillId="13" borderId="0" applyAlignment="1" pivotButton="0" quotePrefix="0" xfId="0">
      <alignment horizontal="left" vertical="center"/>
    </xf>
    <xf numFmtId="164" fontId="6" fillId="13" borderId="0" applyAlignment="1" pivotButton="0" quotePrefix="0" xfId="0">
      <alignment horizontal="right" vertical="center"/>
    </xf>
    <xf numFmtId="3" fontId="5" fillId="13" borderId="0" applyAlignment="1" pivotButton="0" quotePrefix="0" xfId="0">
      <alignment horizontal="right" vertical="center"/>
    </xf>
    <xf numFmtId="0" fontId="5" fillId="14" borderId="0" applyAlignment="1" pivotButton="0" quotePrefix="0" xfId="0">
      <alignment horizontal="left" vertical="center"/>
    </xf>
    <xf numFmtId="164" fontId="6" fillId="14" borderId="0" applyAlignment="1" pivotButton="0" quotePrefix="0" xfId="0">
      <alignment horizontal="right" vertical="center"/>
    </xf>
    <xf numFmtId="3" fontId="5" fillId="14" borderId="0" applyAlignment="1" pivotButton="0" quotePrefix="0" xfId="0">
      <alignment horizontal="right" vertical="center"/>
    </xf>
    <xf numFmtId="49" fontId="6" fillId="10" borderId="0" applyAlignment="1" pivotButton="0" quotePrefix="0" xfId="0">
      <alignment horizontal="right" vertical="center"/>
    </xf>
    <xf numFmtId="49" fontId="5" fillId="10" borderId="0" applyAlignment="1" pivotButton="0" quotePrefix="0" xfId="0">
      <alignment horizontal="right" vertical="center"/>
    </xf>
    <xf numFmtId="49" fontId="6" fillId="11" borderId="0" applyAlignment="1" pivotButton="0" quotePrefix="0" xfId="0">
      <alignment horizontal="right" vertical="center"/>
    </xf>
    <xf numFmtId="49" fontId="5" fillId="11" borderId="0" applyAlignment="1" pivotButton="0" quotePrefix="0" xfId="0">
      <alignment horizontal="right" vertical="center"/>
    </xf>
    <xf numFmtId="49" fontId="6" fillId="12" borderId="0" applyAlignment="1" pivotButton="0" quotePrefix="0" xfId="0">
      <alignment horizontal="right" vertical="center"/>
    </xf>
    <xf numFmtId="49" fontId="6" fillId="13" borderId="0" applyAlignment="1" pivotButton="0" quotePrefix="0" xfId="0">
      <alignment horizontal="right" vertical="center"/>
    </xf>
    <xf numFmtId="49" fontId="5" fillId="13" borderId="0" applyAlignment="1" pivotButton="0" quotePrefix="0" xfId="0">
      <alignment horizontal="right" vertical="center"/>
    </xf>
    <xf numFmtId="49" fontId="6" fillId="14" borderId="0" applyAlignment="1" pivotButton="0" quotePrefix="0" xfId="0">
      <alignment horizontal="right" vertical="center"/>
    </xf>
    <xf numFmtId="49" fontId="5" fillId="14" borderId="0" applyAlignment="1" pivotButton="0" quotePrefix="0" xfId="0">
      <alignment horizontal="right" vertical="center"/>
    </xf>
    <xf numFmtId="0" fontId="2" fillId="20" borderId="0" applyAlignment="1" pivotButton="0" quotePrefix="0" xfId="0">
      <alignment horizontal="center" vertical="center"/>
    </xf>
    <xf numFmtId="0" fontId="2" fillId="21" borderId="0" applyAlignment="1" pivotButton="0" quotePrefix="0" xfId="0">
      <alignment horizontal="center" vertical="center"/>
    </xf>
    <xf numFmtId="0" fontId="2" fillId="22" borderId="0" applyAlignment="1" pivotButton="0" quotePrefix="0" xfId="0">
      <alignment horizontal="center" vertical="center"/>
    </xf>
    <xf numFmtId="0" fontId="2" fillId="23" borderId="0" applyAlignment="1" pivotButton="0" quotePrefix="0" xfId="0">
      <alignment horizontal="center" vertical="center"/>
    </xf>
    <xf numFmtId="0" fontId="2" fillId="20" borderId="0" applyAlignment="1" pivotButton="0" quotePrefix="0" xfId="0">
      <alignment horizontal="right" vertical="center"/>
    </xf>
    <xf numFmtId="0" fontId="2" fillId="21" borderId="0" applyAlignment="1" pivotButton="0" quotePrefix="0" xfId="0">
      <alignment horizontal="right" vertical="center"/>
    </xf>
    <xf numFmtId="0" fontId="2" fillId="22" borderId="0" applyAlignment="1" pivotButton="0" quotePrefix="0" xfId="0">
      <alignment horizontal="right" vertical="center"/>
    </xf>
    <xf numFmtId="0" fontId="2" fillId="23" borderId="0" applyAlignment="1" pivotButton="0" quotePrefix="0" xfId="0">
      <alignment horizontal="right" vertical="center"/>
    </xf>
    <xf numFmtId="0" fontId="5" fillId="16" borderId="0" applyAlignment="1" pivotButton="0" quotePrefix="0" xfId="0">
      <alignment horizontal="left" vertical="center"/>
    </xf>
    <xf numFmtId="3" fontId="6" fillId="20" borderId="0" applyAlignment="1" pivotButton="0" quotePrefix="0" xfId="0">
      <alignment horizontal="right" vertical="center"/>
    </xf>
    <xf numFmtId="164" fontId="8" fillId="20" borderId="0" applyAlignment="1" pivotButton="0" quotePrefix="0" xfId="0">
      <alignment horizontal="center" vertical="center"/>
    </xf>
    <xf numFmtId="3" fontId="6" fillId="21" borderId="0" applyAlignment="1" pivotButton="0" quotePrefix="0" xfId="0">
      <alignment horizontal="right" vertical="center"/>
    </xf>
    <xf numFmtId="164" fontId="8" fillId="21" borderId="0" applyAlignment="1" pivotButton="0" quotePrefix="0" xfId="0">
      <alignment horizontal="center" vertical="center"/>
    </xf>
    <xf numFmtId="3" fontId="6" fillId="22" borderId="0" applyAlignment="1" pivotButton="0" quotePrefix="0" xfId="0">
      <alignment horizontal="right" vertical="center"/>
    </xf>
    <xf numFmtId="164" fontId="8" fillId="22" borderId="0" applyAlignment="1" pivotButton="0" quotePrefix="0" xfId="0">
      <alignment horizontal="center" vertical="center"/>
    </xf>
    <xf numFmtId="3" fontId="6" fillId="23" borderId="0" applyAlignment="1" pivotButton="0" quotePrefix="0" xfId="0">
      <alignment horizontal="right" vertical="center"/>
    </xf>
    <xf numFmtId="164" fontId="7" fillId="23" borderId="0" applyAlignment="1" pivotButton="0" quotePrefix="0" xfId="0">
      <alignment horizontal="center" vertical="center"/>
    </xf>
    <xf numFmtId="0" fontId="6" fillId="9" borderId="0" applyAlignment="1" pivotButton="0" quotePrefix="0" xfId="0">
      <alignment horizontal="left" vertical="center"/>
    </xf>
    <xf numFmtId="0" fontId="5" fillId="9" borderId="0" applyAlignment="1" pivotButton="0" quotePrefix="0" xfId="0">
      <alignment horizontal="left" vertical="center"/>
    </xf>
    <xf numFmtId="164" fontId="7" fillId="20" borderId="0" applyAlignment="1" pivotButton="0" quotePrefix="0" xfId="0">
      <alignment horizontal="center" vertical="center"/>
    </xf>
    <xf numFmtId="164" fontId="7" fillId="21" borderId="0" applyAlignment="1" pivotButton="0" quotePrefix="0" xfId="0">
      <alignment horizontal="center" vertical="center"/>
    </xf>
    <xf numFmtId="164" fontId="8" fillId="23" borderId="0" applyAlignment="1" pivotButton="0" quotePrefix="0" xfId="0">
      <alignment horizontal="center" vertical="center"/>
    </xf>
    <xf numFmtId="0" fontId="6" fillId="16" borderId="0" applyAlignment="1" pivotButton="0" quotePrefix="0" xfId="0">
      <alignment horizontal="left" vertical="center"/>
    </xf>
    <xf numFmtId="165" fontId="6" fillId="20" borderId="0" applyAlignment="1" pivotButton="0" quotePrefix="0" xfId="0">
      <alignment horizontal="right" vertical="center"/>
    </xf>
    <xf numFmtId="165" fontId="6" fillId="21" borderId="0" applyAlignment="1" pivotButton="0" quotePrefix="0" xfId="0">
      <alignment horizontal="right" vertical="center"/>
    </xf>
    <xf numFmtId="165" fontId="6" fillId="22" borderId="0" applyAlignment="1" pivotButton="0" quotePrefix="0" xfId="0">
      <alignment horizontal="right" vertical="center"/>
    </xf>
    <xf numFmtId="165" fontId="6" fillId="23" borderId="0" applyAlignment="1" pivotButton="0" quotePrefix="0" xfId="0">
      <alignment horizontal="right" vertical="center"/>
    </xf>
    <xf numFmtId="164" fontId="7" fillId="22" borderId="0" applyAlignment="1" pivotButton="0" quotePrefix="0" xfId="0">
      <alignment horizontal="center" vertical="center"/>
    </xf>
    <xf numFmtId="164" fontId="5" fillId="23" borderId="0" applyAlignment="1" pivotButton="0" quotePrefix="0" xfId="0">
      <alignment horizontal="center" vertical="center"/>
    </xf>
    <xf numFmtId="164" fontId="5" fillId="21" borderId="0" applyAlignment="1" pivotButton="0" quotePrefix="0" xfId="0">
      <alignment horizontal="center" vertical="center"/>
    </xf>
    <xf numFmtId="164" fontId="5" fillId="20" borderId="0" applyAlignment="1" pivotButton="0" quotePrefix="0" xfId="0">
      <alignment horizontal="center" vertical="center"/>
    </xf>
    <xf numFmtId="49" fontId="5" fillId="22" borderId="0" applyAlignment="1" pivotButton="0" quotePrefix="0" xfId="0">
      <alignment horizontal="center" vertical="center"/>
    </xf>
    <xf numFmtId="0" fontId="13" fillId="3" borderId="0" applyAlignment="1" pivotButton="0" quotePrefix="0" xfId="0">
      <alignment horizontal="center" vertical="center"/>
    </xf>
    <xf numFmtId="0" fontId="13" fillId="4" borderId="0" applyAlignment="1" pivotButton="0" quotePrefix="0" xfId="0">
      <alignment horizontal="center" vertical="center"/>
    </xf>
    <xf numFmtId="0" fontId="13" fillId="5" borderId="0" applyAlignment="1" pivotButton="0" quotePrefix="0" xfId="0">
      <alignment horizontal="center" vertical="center"/>
    </xf>
    <xf numFmtId="0" fontId="13" fillId="6" borderId="0" applyAlignment="1" pivotButton="0" quotePrefix="0" xfId="0">
      <alignment horizontal="center" vertical="center"/>
    </xf>
    <xf numFmtId="0" fontId="13" fillId="7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left" vertical="center"/>
    </xf>
    <xf numFmtId="49" fontId="6" fillId="10" borderId="0" applyAlignment="1" pivotButton="0" quotePrefix="0" xfId="0">
      <alignment horizontal="center" vertical="center"/>
    </xf>
    <xf numFmtId="0" fontId="2" fillId="10" borderId="0" applyAlignment="1" pivotButton="0" quotePrefix="0" xfId="0">
      <alignment horizontal="left" vertical="center"/>
    </xf>
    <xf numFmtId="0" fontId="2" fillId="4" borderId="0" applyAlignment="1" pivotButton="0" quotePrefix="0" xfId="0">
      <alignment horizontal="left" vertical="center"/>
    </xf>
    <xf numFmtId="49" fontId="6" fillId="11" borderId="0" applyAlignment="1" pivotButton="0" quotePrefix="0" xfId="0">
      <alignment horizontal="center" vertical="center"/>
    </xf>
    <xf numFmtId="0" fontId="2" fillId="11" borderId="0" applyAlignment="1" pivotButton="0" quotePrefix="0" xfId="0">
      <alignment horizontal="left" vertical="center"/>
    </xf>
    <xf numFmtId="0" fontId="2" fillId="5" borderId="0" applyAlignment="1" pivotButton="0" quotePrefix="0" xfId="0">
      <alignment horizontal="left" vertical="center"/>
    </xf>
    <xf numFmtId="49" fontId="6" fillId="12" borderId="0" applyAlignment="1" pivotButton="0" quotePrefix="0" xfId="0">
      <alignment horizontal="center" vertical="center"/>
    </xf>
    <xf numFmtId="0" fontId="2" fillId="12" borderId="0" applyAlignment="1" pivotButton="0" quotePrefix="0" xfId="0">
      <alignment horizontal="left" vertical="center"/>
    </xf>
    <xf numFmtId="0" fontId="2" fillId="6" borderId="0" applyAlignment="1" pivotButton="0" quotePrefix="0" xfId="0">
      <alignment horizontal="left" vertical="center"/>
    </xf>
    <xf numFmtId="49" fontId="6" fillId="13" borderId="0" applyAlignment="1" pivotButton="0" quotePrefix="0" xfId="0">
      <alignment horizontal="center" vertical="center"/>
    </xf>
    <xf numFmtId="0" fontId="2" fillId="13" borderId="0" applyAlignment="1" pivotButton="0" quotePrefix="0" xfId="0">
      <alignment horizontal="left" vertical="center"/>
    </xf>
    <xf numFmtId="0" fontId="2" fillId="7" borderId="0" applyAlignment="1" pivotButton="0" quotePrefix="0" xfId="0">
      <alignment horizontal="left" vertical="center"/>
    </xf>
    <xf numFmtId="49" fontId="6" fillId="14" borderId="0" applyAlignment="1" pivotButton="0" quotePrefix="0" xfId="0">
      <alignment horizontal="center" vertical="center"/>
    </xf>
    <xf numFmtId="0" fontId="2" fillId="14" borderId="0" applyAlignment="1" pivotButton="0" quotePrefix="0" xfId="0">
      <alignment horizontal="left" vertical="center"/>
    </xf>
    <xf numFmtId="4" fontId="3" fillId="17" borderId="0" applyAlignment="1" pivotButton="0" quotePrefix="0" xfId="0">
      <alignment horizontal="right" vertical="center"/>
    </xf>
    <xf numFmtId="0" fontId="11" fillId="24" borderId="0" applyAlignment="1" pivotButton="0" quotePrefix="0" xfId="0">
      <alignment horizontal="center" vertical="center"/>
    </xf>
    <xf numFmtId="0" fontId="11" fillId="25" borderId="0" applyAlignment="1" pivotButton="0" quotePrefix="0" xfId="0">
      <alignment horizontal="center" vertical="center"/>
    </xf>
    <xf numFmtId="0" fontId="11" fillId="26" borderId="0" applyAlignment="1" pivotButton="0" quotePrefix="0" xfId="0">
      <alignment horizontal="center" vertical="center"/>
    </xf>
    <xf numFmtId="0" fontId="11" fillId="27" borderId="0" applyAlignment="1" pivotButton="0" quotePrefix="0" xfId="0">
      <alignment horizontal="center" vertical="center"/>
    </xf>
    <xf numFmtId="0" fontId="3" fillId="24" borderId="0" applyAlignment="1" pivotButton="0" quotePrefix="0" xfId="0">
      <alignment horizontal="left" vertical="center"/>
    </xf>
    <xf numFmtId="0" fontId="14" fillId="28" borderId="0" applyAlignment="1" pivotButton="0" quotePrefix="0" xfId="0">
      <alignment horizontal="center" vertical="center"/>
    </xf>
    <xf numFmtId="0" fontId="4" fillId="28" borderId="0" applyAlignment="1" pivotButton="0" quotePrefix="0" xfId="0">
      <alignment horizontal="left" vertical="center"/>
    </xf>
    <xf numFmtId="0" fontId="5" fillId="28" borderId="0" applyAlignment="1" pivotButton="0" quotePrefix="0" xfId="0">
      <alignment horizontal="center" vertical="center"/>
    </xf>
    <xf numFmtId="3" fontId="6" fillId="28" borderId="0" applyAlignment="1" pivotButton="0" quotePrefix="0" xfId="0">
      <alignment horizontal="right" vertical="center"/>
    </xf>
    <xf numFmtId="164" fontId="7" fillId="28" borderId="0" applyAlignment="1" pivotButton="0" quotePrefix="0" xfId="0">
      <alignment horizontal="right" vertical="center"/>
    </xf>
    <xf numFmtId="3" fontId="5" fillId="28" borderId="0" applyAlignment="1" pivotButton="0" quotePrefix="0" xfId="0">
      <alignment horizontal="center" vertical="center"/>
    </xf>
    <xf numFmtId="166" fontId="7" fillId="28" borderId="0" applyAlignment="1" pivotButton="0" quotePrefix="0" xfId="0">
      <alignment horizontal="right" vertical="center"/>
    </xf>
    <xf numFmtId="3" fontId="5" fillId="28" borderId="0" applyAlignment="1" pivotButton="0" quotePrefix="0" xfId="0">
      <alignment horizontal="right" vertical="center"/>
    </xf>
    <xf numFmtId="0" fontId="6" fillId="28" borderId="0" applyAlignment="1" pivotButton="0" quotePrefix="0" xfId="0">
      <alignment horizontal="left" vertical="center"/>
    </xf>
    <xf numFmtId="0" fontId="7" fillId="28" borderId="0" applyAlignment="1" pivotButton="0" quotePrefix="0" xfId="0">
      <alignment horizontal="center" vertical="center"/>
    </xf>
    <xf numFmtId="0" fontId="3" fillId="25" borderId="0" applyAlignment="1" pivotButton="0" quotePrefix="0" xfId="0">
      <alignment horizontal="left" vertical="center"/>
    </xf>
    <xf numFmtId="0" fontId="15" fillId="29" borderId="0" applyAlignment="1" pivotButton="0" quotePrefix="0" xfId="0">
      <alignment horizontal="center" vertical="center"/>
    </xf>
    <xf numFmtId="0" fontId="4" fillId="29" borderId="0" applyAlignment="1" pivotButton="0" quotePrefix="0" xfId="0">
      <alignment horizontal="left" vertical="center"/>
    </xf>
    <xf numFmtId="0" fontId="5" fillId="29" borderId="0" applyAlignment="1" pivotButton="0" quotePrefix="0" xfId="0">
      <alignment horizontal="center" vertical="center"/>
    </xf>
    <xf numFmtId="3" fontId="6" fillId="29" borderId="0" applyAlignment="1" pivotButton="0" quotePrefix="0" xfId="0">
      <alignment horizontal="right" vertical="center"/>
    </xf>
    <xf numFmtId="164" fontId="8" fillId="29" borderId="0" applyAlignment="1" pivotButton="0" quotePrefix="0" xfId="0">
      <alignment horizontal="right" vertical="center"/>
    </xf>
    <xf numFmtId="3" fontId="5" fillId="29" borderId="0" applyAlignment="1" pivotButton="0" quotePrefix="0" xfId="0">
      <alignment horizontal="center" vertical="center"/>
    </xf>
    <xf numFmtId="166" fontId="7" fillId="29" borderId="0" applyAlignment="1" pivotButton="0" quotePrefix="0" xfId="0">
      <alignment horizontal="right" vertical="center"/>
    </xf>
    <xf numFmtId="3" fontId="5" fillId="29" borderId="0" applyAlignment="1" pivotButton="0" quotePrefix="0" xfId="0">
      <alignment horizontal="right" vertical="center"/>
    </xf>
    <xf numFmtId="0" fontId="6" fillId="29" borderId="0" applyAlignment="1" pivotButton="0" quotePrefix="0" xfId="0">
      <alignment horizontal="left" vertical="center"/>
    </xf>
    <xf numFmtId="0" fontId="7" fillId="29" borderId="0" applyAlignment="1" pivotButton="0" quotePrefix="0" xfId="0">
      <alignment horizontal="center" vertical="center"/>
    </xf>
    <xf numFmtId="164" fontId="9" fillId="29" borderId="0" applyAlignment="1" pivotButton="0" quotePrefix="0" xfId="0">
      <alignment horizontal="right" vertical="center"/>
    </xf>
    <xf numFmtId="0" fontId="3" fillId="26" borderId="0" applyAlignment="1" pivotButton="0" quotePrefix="0" xfId="0">
      <alignment horizontal="left" vertical="center"/>
    </xf>
    <xf numFmtId="0" fontId="8" fillId="30" borderId="0" applyAlignment="1" pivotButton="0" quotePrefix="0" xfId="0">
      <alignment horizontal="center" vertical="center"/>
    </xf>
    <xf numFmtId="0" fontId="4" fillId="30" borderId="0" applyAlignment="1" pivotButton="0" quotePrefix="0" xfId="0">
      <alignment horizontal="left" vertical="center"/>
    </xf>
    <xf numFmtId="0" fontId="5" fillId="30" borderId="0" applyAlignment="1" pivotButton="0" quotePrefix="0" xfId="0">
      <alignment horizontal="center" vertical="center"/>
    </xf>
    <xf numFmtId="3" fontId="6" fillId="30" borderId="0" applyAlignment="1" pivotButton="0" quotePrefix="0" xfId="0">
      <alignment horizontal="right" vertical="center"/>
    </xf>
    <xf numFmtId="164" fontId="9" fillId="30" borderId="0" applyAlignment="1" pivotButton="0" quotePrefix="0" xfId="0">
      <alignment horizontal="right" vertical="center"/>
    </xf>
    <xf numFmtId="3" fontId="5" fillId="30" borderId="0" applyAlignment="1" pivotButton="0" quotePrefix="0" xfId="0">
      <alignment horizontal="center" vertical="center"/>
    </xf>
    <xf numFmtId="166" fontId="8" fillId="30" borderId="0" applyAlignment="1" pivotButton="0" quotePrefix="0" xfId="0">
      <alignment horizontal="right" vertical="center"/>
    </xf>
    <xf numFmtId="3" fontId="5" fillId="30" borderId="0" applyAlignment="1" pivotButton="0" quotePrefix="0" xfId="0">
      <alignment horizontal="right" vertical="center"/>
    </xf>
    <xf numFmtId="0" fontId="6" fillId="30" borderId="0" applyAlignment="1" pivotButton="0" quotePrefix="0" xfId="0">
      <alignment horizontal="left" vertical="center"/>
    </xf>
    <xf numFmtId="0" fontId="7" fillId="30" borderId="0" applyAlignment="1" pivotButton="0" quotePrefix="0" xfId="0">
      <alignment horizontal="center" vertical="center"/>
    </xf>
    <xf numFmtId="164" fontId="8" fillId="30" borderId="0" applyAlignment="1" pivotButton="0" quotePrefix="0" xfId="0">
      <alignment horizontal="right" vertical="center"/>
    </xf>
    <xf numFmtId="0" fontId="3" fillId="27" borderId="0" applyAlignment="1" pivotButton="0" quotePrefix="0" xfId="0">
      <alignment horizontal="left" vertical="center"/>
    </xf>
    <xf numFmtId="0" fontId="16" fillId="31" borderId="0" applyAlignment="1" pivotButton="0" quotePrefix="0" xfId="0">
      <alignment horizontal="center" vertical="center"/>
    </xf>
    <xf numFmtId="0" fontId="4" fillId="31" borderId="0" applyAlignment="1" pivotButton="0" quotePrefix="0" xfId="0">
      <alignment horizontal="left" vertical="center"/>
    </xf>
    <xf numFmtId="0" fontId="5" fillId="31" borderId="0" applyAlignment="1" pivotButton="0" quotePrefix="0" xfId="0">
      <alignment horizontal="center" vertical="center"/>
    </xf>
    <xf numFmtId="3" fontId="6" fillId="31" borderId="0" applyAlignment="1" pivotButton="0" quotePrefix="0" xfId="0">
      <alignment horizontal="right" vertical="center"/>
    </xf>
    <xf numFmtId="164" fontId="7" fillId="31" borderId="0" applyAlignment="1" pivotButton="0" quotePrefix="0" xfId="0">
      <alignment horizontal="right" vertical="center"/>
    </xf>
    <xf numFmtId="3" fontId="5" fillId="31" borderId="0" applyAlignment="1" pivotButton="0" quotePrefix="0" xfId="0">
      <alignment horizontal="center" vertical="center"/>
    </xf>
    <xf numFmtId="166" fontId="8" fillId="31" borderId="0" applyAlignment="1" pivotButton="0" quotePrefix="0" xfId="0">
      <alignment horizontal="right" vertical="center"/>
    </xf>
    <xf numFmtId="3" fontId="5" fillId="31" borderId="0" applyAlignment="1" pivotButton="0" quotePrefix="0" xfId="0">
      <alignment horizontal="right" vertical="center"/>
    </xf>
    <xf numFmtId="0" fontId="6" fillId="31" borderId="0" applyAlignment="1" pivotButton="0" quotePrefix="0" xfId="0">
      <alignment horizontal="left" vertical="center"/>
    </xf>
    <xf numFmtId="0" fontId="9" fillId="31" borderId="0" applyAlignment="1" pivotButton="0" quotePrefix="0" xfId="0">
      <alignment horizontal="center" vertical="center"/>
    </xf>
    <xf numFmtId="0" fontId="6" fillId="28" borderId="0" applyAlignment="1" pivotButton="0" quotePrefix="0" xfId="0">
      <alignment horizontal="center" vertical="center"/>
    </xf>
    <xf numFmtId="0" fontId="6" fillId="28" borderId="0" applyAlignment="1" pivotButton="0" quotePrefix="0" xfId="0">
      <alignment horizontal="left" vertical="center" wrapText="1"/>
    </xf>
    <xf numFmtId="0" fontId="0" fillId="28" borderId="0" pivotButton="0" quotePrefix="0" xfId="0"/>
    <xf numFmtId="0" fontId="0" fillId="9" borderId="0" pivotButton="0" quotePrefix="0" xfId="0"/>
    <xf numFmtId="0" fontId="6" fillId="29" borderId="0" applyAlignment="1" pivotButton="0" quotePrefix="0" xfId="0">
      <alignment horizontal="center" vertical="center"/>
    </xf>
    <xf numFmtId="0" fontId="6" fillId="29" borderId="0" applyAlignment="1" pivotButton="0" quotePrefix="0" xfId="0">
      <alignment horizontal="left" vertical="center" wrapText="1"/>
    </xf>
    <xf numFmtId="0" fontId="0" fillId="29" borderId="0" pivotButton="0" quotePrefix="0" xfId="0"/>
    <xf numFmtId="0" fontId="6" fillId="30" borderId="0" applyAlignment="1" pivotButton="0" quotePrefix="0" xfId="0">
      <alignment horizontal="center" vertical="center"/>
    </xf>
    <xf numFmtId="0" fontId="6" fillId="30" borderId="0" applyAlignment="1" pivotButton="0" quotePrefix="0" xfId="0">
      <alignment horizontal="left" vertical="center" wrapText="1"/>
    </xf>
    <xf numFmtId="0" fontId="0" fillId="30" borderId="0" pivotButton="0" quotePrefix="0" xfId="0"/>
    <xf numFmtId="0" fontId="6" fillId="31" borderId="0" applyAlignment="1" pivotButton="0" quotePrefix="0" xfId="0">
      <alignment horizontal="center" vertical="center"/>
    </xf>
    <xf numFmtId="0" fontId="6" fillId="31" borderId="0" applyAlignment="1" pivotButton="0" quotePrefix="0" xfId="0">
      <alignment horizontal="left" vertical="center" wrapText="1"/>
    </xf>
    <xf numFmtId="0" fontId="0" fillId="31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e40af"/>
    <outlinePr summaryBelow="1" summaryRight="1"/>
    <pageSetUpPr/>
  </sheetPr>
  <dimension ref="A1:Z12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14" customWidth="1" min="2" max="2"/>
    <col width="10" customWidth="1" min="3" max="3"/>
    <col width="9" customWidth="1" min="4" max="4"/>
    <col width="8" customWidth="1" min="5" max="5"/>
    <col width="7" customWidth="1" min="6" max="6"/>
    <col width="10" customWidth="1" min="7" max="7"/>
    <col width="9" customWidth="1" min="8" max="8"/>
    <col width="8" customWidth="1" min="9" max="9"/>
    <col width="7" customWidth="1" min="10" max="10"/>
    <col width="10" customWidth="1" min="11" max="11"/>
    <col width="9" customWidth="1" min="12" max="12"/>
    <col width="8" customWidth="1" min="13" max="13"/>
    <col width="7" customWidth="1" min="14" max="14"/>
    <col width="10" customWidth="1" min="15" max="15"/>
    <col width="9" customWidth="1" min="16" max="16"/>
    <col width="8" customWidth="1" min="17" max="17"/>
    <col width="7" customWidth="1" min="18" max="18"/>
    <col width="10" customWidth="1" min="19" max="19"/>
    <col width="9" customWidth="1" min="20" max="20"/>
    <col width="8" customWidth="1" min="21" max="21"/>
    <col width="7" customWidth="1" min="22" max="22"/>
    <col width="11" customWidth="1" min="23" max="23"/>
    <col width="10" customWidth="1" min="24" max="24"/>
    <col width="8" customWidth="1" min="25" max="25"/>
    <col width="7" customWidth="1" min="26" max="26"/>
  </cols>
  <sheetData>
    <row r="1" ht="26" customHeight="1">
      <c r="A1" s="1" t="inlineStr">
        <is>
          <t>DAIKEN US · Weekly Performance Report  |  Feb–Mar 2026  |  W1–W5  |  TACOS Target ≤70%</t>
        </is>
      </c>
    </row>
    <row r="2" ht="6" customHeight="1"/>
    <row r="3" ht="16" customHeight="1">
      <c r="A3" s="2" t="inlineStr">
        <is>
          <t>Product</t>
        </is>
      </c>
      <c r="B3" s="2" t="inlineStr">
        <is>
          <t>Parent ASIN</t>
        </is>
      </c>
      <c r="C3" s="3" t="inlineStr">
        <is>
          <t>W1  ·  Feb 1–7</t>
        </is>
      </c>
      <c r="G3" s="4" t="inlineStr">
        <is>
          <t>W2  ·  Feb 8–14</t>
        </is>
      </c>
      <c r="K3" s="5" t="inlineStr">
        <is>
          <t>W3  ·  Feb 15–21</t>
        </is>
      </c>
      <c r="O3" s="6" t="inlineStr">
        <is>
          <t>W4  ·  Feb 22–28</t>
        </is>
      </c>
      <c r="S3" s="7" t="inlineStr">
        <is>
          <t>W5  ·  Mar 1–7</t>
        </is>
      </c>
      <c r="W3" s="8" t="inlineStr">
        <is>
          <t>5W TOTAL</t>
        </is>
      </c>
    </row>
    <row r="4" ht="20" customHeight="1">
      <c r="A4" s="9" t="inlineStr">
        <is>
          <t>產品名稱</t>
        </is>
      </c>
      <c r="B4" s="2" t="inlineStr">
        <is>
          <t>Parent ASIN</t>
        </is>
      </c>
      <c r="C4" s="3" t="inlineStr">
        <is>
          <t>Sales ($)</t>
        </is>
      </c>
      <c r="D4" s="3" t="inlineStr">
        <is>
          <t>Spend ($)</t>
        </is>
      </c>
      <c r="E4" s="3" t="inlineStr">
        <is>
          <t>TACOS</t>
        </is>
      </c>
      <c r="F4" s="3" t="inlineStr">
        <is>
          <t>Units</t>
        </is>
      </c>
      <c r="G4" s="4" t="inlineStr">
        <is>
          <t>Sales ($)</t>
        </is>
      </c>
      <c r="H4" s="4" t="inlineStr">
        <is>
          <t>Spend ($)</t>
        </is>
      </c>
      <c r="I4" s="4" t="inlineStr">
        <is>
          <t>TACOS</t>
        </is>
      </c>
      <c r="J4" s="4" t="inlineStr">
        <is>
          <t>Units</t>
        </is>
      </c>
      <c r="K4" s="5" t="inlineStr">
        <is>
          <t>Sales ($)</t>
        </is>
      </c>
      <c r="L4" s="5" t="inlineStr">
        <is>
          <t>Spend ($)</t>
        </is>
      </c>
      <c r="M4" s="5" t="inlineStr">
        <is>
          <t>TACOS</t>
        </is>
      </c>
      <c r="N4" s="5" t="inlineStr">
        <is>
          <t>Units</t>
        </is>
      </c>
      <c r="O4" s="6" t="inlineStr">
        <is>
          <t>Sales ($)</t>
        </is>
      </c>
      <c r="P4" s="6" t="inlineStr">
        <is>
          <t>Spend ($)</t>
        </is>
      </c>
      <c r="Q4" s="6" t="inlineStr">
        <is>
          <t>TACOS</t>
        </is>
      </c>
      <c r="R4" s="6" t="inlineStr">
        <is>
          <t>Units</t>
        </is>
      </c>
      <c r="S4" s="7" t="inlineStr">
        <is>
          <t>Sales ($)</t>
        </is>
      </c>
      <c r="T4" s="7" t="inlineStr">
        <is>
          <t>Spend ($)</t>
        </is>
      </c>
      <c r="U4" s="7" t="inlineStr">
        <is>
          <t>TACOS</t>
        </is>
      </c>
      <c r="V4" s="7" t="inlineStr">
        <is>
          <t>Units</t>
        </is>
      </c>
      <c r="W4" s="8" t="inlineStr">
        <is>
          <t>Sales ($)</t>
        </is>
      </c>
      <c r="X4" s="8" t="inlineStr">
        <is>
          <t>Spend ($)</t>
        </is>
      </c>
      <c r="Y4" s="8" t="inlineStr">
        <is>
          <t>TACOS</t>
        </is>
      </c>
      <c r="Z4" s="8" t="inlineStr">
        <is>
          <t>Units</t>
        </is>
      </c>
    </row>
    <row r="5" ht="18" customHeight="1">
      <c r="A5" s="10" t="inlineStr">
        <is>
          <t>納豆激酶</t>
        </is>
      </c>
      <c r="B5" s="11" t="inlineStr">
        <is>
          <t>B0DTV2XP8T</t>
        </is>
      </c>
      <c r="C5" s="12" t="n">
        <v>2376.67</v>
      </c>
      <c r="D5" s="12" t="n">
        <v>581.85</v>
      </c>
      <c r="E5" s="13" t="n">
        <v>0.245</v>
      </c>
      <c r="F5" s="12" t="n">
        <v>67</v>
      </c>
      <c r="G5" s="14" t="n">
        <v>1973.43</v>
      </c>
      <c r="H5" s="14" t="n">
        <v>431.03</v>
      </c>
      <c r="I5" s="15" t="n">
        <v>0.218</v>
      </c>
      <c r="J5" s="14" t="n">
        <v>57</v>
      </c>
      <c r="K5" s="16" t="n">
        <v>1531.3</v>
      </c>
      <c r="L5" s="16" t="n">
        <v>363.62</v>
      </c>
      <c r="M5" s="17" t="n">
        <v>0.237</v>
      </c>
      <c r="N5" s="16" t="n">
        <v>44</v>
      </c>
      <c r="O5" s="18" t="n">
        <v>1160.23</v>
      </c>
      <c r="P5" s="18" t="n">
        <v>450.82</v>
      </c>
      <c r="Q5" s="19" t="n">
        <v>0.389</v>
      </c>
      <c r="R5" s="18" t="n">
        <v>37</v>
      </c>
      <c r="S5" s="20" t="n">
        <v>3261.18</v>
      </c>
      <c r="T5" s="20" t="n">
        <v>1025.61</v>
      </c>
      <c r="U5" s="21" t="n">
        <v>0.314</v>
      </c>
      <c r="V5" s="20" t="n">
        <v>96</v>
      </c>
      <c r="W5" s="22" t="n">
        <v>10302.81</v>
      </c>
      <c r="X5" s="22" t="n">
        <v>2852.93</v>
      </c>
      <c r="Y5" s="23" t="n">
        <v>0.002769079503552914</v>
      </c>
      <c r="Z5" s="22" t="n">
        <v>301</v>
      </c>
    </row>
    <row r="6" ht="18" customHeight="1">
      <c r="A6" s="24" t="inlineStr">
        <is>
          <t>兒童魚油軟糖</t>
        </is>
      </c>
      <c r="B6" s="25" t="inlineStr">
        <is>
          <t>B0G7SGXFC1</t>
        </is>
      </c>
      <c r="C6" s="12" t="n">
        <v>1330.33</v>
      </c>
      <c r="D6" s="12" t="n">
        <v>1549.76</v>
      </c>
      <c r="E6" s="26" t="n">
        <v>1.165</v>
      </c>
      <c r="F6" s="12" t="n">
        <v>67</v>
      </c>
      <c r="G6" s="14" t="n">
        <v>1162.42</v>
      </c>
      <c r="H6" s="14" t="n">
        <v>1403.94</v>
      </c>
      <c r="I6" s="27" t="n">
        <v>1.208</v>
      </c>
      <c r="J6" s="14" t="n">
        <v>58</v>
      </c>
      <c r="K6" s="16" t="n">
        <v>1480.3</v>
      </c>
      <c r="L6" s="16" t="n">
        <v>2122.73</v>
      </c>
      <c r="M6" s="28" t="n">
        <v>1.434</v>
      </c>
      <c r="N6" s="16" t="n">
        <v>70</v>
      </c>
      <c r="O6" s="18" t="n">
        <v>2682.76</v>
      </c>
      <c r="P6" s="18" t="n">
        <v>2766.05</v>
      </c>
      <c r="Q6" s="29" t="n">
        <v>1.031</v>
      </c>
      <c r="R6" s="18" t="n">
        <v>124</v>
      </c>
      <c r="S6" s="20" t="n">
        <v>1656.36</v>
      </c>
      <c r="T6" s="20" t="n">
        <v>2465.54</v>
      </c>
      <c r="U6" s="30" t="n">
        <v>1.489</v>
      </c>
      <c r="V6" s="20" t="n">
        <v>79</v>
      </c>
      <c r="W6" s="22" t="n">
        <v>8312.17</v>
      </c>
      <c r="X6" s="22" t="n">
        <v>10308.02</v>
      </c>
      <c r="Y6" s="23" t="n">
        <v>0.01240111787896542</v>
      </c>
      <c r="Z6" s="22" t="n">
        <v>398</v>
      </c>
    </row>
    <row r="7" ht="18" customHeight="1">
      <c r="A7" s="10" t="inlineStr">
        <is>
          <t>瑪卡粉</t>
        </is>
      </c>
      <c r="B7" s="11" t="inlineStr">
        <is>
          <t>B09Y8VBQTV</t>
        </is>
      </c>
      <c r="C7" s="12" t="n">
        <v>935.6</v>
      </c>
      <c r="D7" s="12" t="n">
        <v>710.58</v>
      </c>
      <c r="E7" s="31" t="n">
        <v>0.759</v>
      </c>
      <c r="F7" s="12" t="n">
        <v>40</v>
      </c>
      <c r="G7" s="14" t="n">
        <v>1286.45</v>
      </c>
      <c r="H7" s="14" t="n">
        <v>738.08</v>
      </c>
      <c r="I7" s="15" t="n">
        <v>0.574</v>
      </c>
      <c r="J7" s="14" t="n">
        <v>55</v>
      </c>
      <c r="K7" s="16" t="n">
        <v>1473.57</v>
      </c>
      <c r="L7" s="16" t="n">
        <v>1308.65</v>
      </c>
      <c r="M7" s="28" t="n">
        <v>0.888</v>
      </c>
      <c r="N7" s="16" t="n">
        <v>63</v>
      </c>
      <c r="O7" s="18" t="n">
        <v>1707.47</v>
      </c>
      <c r="P7" s="18" t="n">
        <v>1209.53</v>
      </c>
      <c r="Q7" s="32" t="n">
        <v>0.708</v>
      </c>
      <c r="R7" s="18" t="n">
        <v>73</v>
      </c>
      <c r="S7" s="20" t="n">
        <v>1684.08</v>
      </c>
      <c r="T7" s="20" t="n">
        <v>1027.79</v>
      </c>
      <c r="U7" s="21" t="n">
        <v>0.61</v>
      </c>
      <c r="V7" s="20" t="n">
        <v>72</v>
      </c>
      <c r="W7" s="22" t="n">
        <v>7087.17</v>
      </c>
      <c r="X7" s="22" t="n">
        <v>4994.63</v>
      </c>
      <c r="Y7" s="23" t="n">
        <v>0.007047425135844067</v>
      </c>
      <c r="Z7" s="22" t="n">
        <v>303</v>
      </c>
    </row>
    <row r="8" ht="18" customHeight="1">
      <c r="A8" s="24" t="inlineStr">
        <is>
          <t>成人頂級魚油</t>
        </is>
      </c>
      <c r="B8" s="25" t="inlineStr">
        <is>
          <t>B0DYHLCY51</t>
        </is>
      </c>
      <c r="C8" s="12" t="n">
        <v>706.3</v>
      </c>
      <c r="D8" s="12" t="n">
        <v>271.25</v>
      </c>
      <c r="E8" s="13" t="n">
        <v>0.384</v>
      </c>
      <c r="F8" s="12" t="n">
        <v>20</v>
      </c>
      <c r="G8" s="14" t="n">
        <v>559.8200000000001</v>
      </c>
      <c r="H8" s="14" t="n">
        <v>1011.02</v>
      </c>
      <c r="I8" s="27" t="n">
        <v>1.806</v>
      </c>
      <c r="J8" s="14" t="n">
        <v>18</v>
      </c>
      <c r="K8" s="16" t="n">
        <v>342.38</v>
      </c>
      <c r="L8" s="16" t="n">
        <v>611.01</v>
      </c>
      <c r="M8" s="28" t="n">
        <v>1.785</v>
      </c>
      <c r="N8" s="16" t="n">
        <v>12</v>
      </c>
      <c r="O8" s="18" t="n">
        <v>3032.75</v>
      </c>
      <c r="P8" s="18" t="n">
        <v>702.22</v>
      </c>
      <c r="Q8" s="19" t="n">
        <v>0.232</v>
      </c>
      <c r="R8" s="18" t="n">
        <v>75</v>
      </c>
      <c r="S8" s="20" t="n">
        <v>590.83</v>
      </c>
      <c r="T8" s="20" t="n">
        <v>36.55</v>
      </c>
      <c r="U8" s="21" t="n">
        <v>0.062</v>
      </c>
      <c r="V8" s="20" t="n">
        <v>17</v>
      </c>
      <c r="W8" s="22" t="n">
        <v>5232.08</v>
      </c>
      <c r="X8" s="22" t="n">
        <v>2632.05</v>
      </c>
      <c r="Y8" s="23" t="n">
        <v>0.005030599685020108</v>
      </c>
      <c r="Z8" s="22" t="n">
        <v>142</v>
      </c>
    </row>
    <row r="9" ht="18" customHeight="1">
      <c r="A9" s="10" t="inlineStr">
        <is>
          <t>苦瓜酵素</t>
        </is>
      </c>
      <c r="B9" s="11" t="inlineStr">
        <is>
          <t>B0FF4WBTWX</t>
        </is>
      </c>
      <c r="C9" s="12" t="n">
        <v>793.25</v>
      </c>
      <c r="D9" s="12" t="n">
        <v>597.2</v>
      </c>
      <c r="E9" s="31" t="n">
        <v>0.753</v>
      </c>
      <c r="F9" s="12" t="n">
        <v>25</v>
      </c>
      <c r="G9" s="14" t="n">
        <v>792.26</v>
      </c>
      <c r="H9" s="14" t="n">
        <v>739.8099999999999</v>
      </c>
      <c r="I9" s="27" t="n">
        <v>0.9340000000000001</v>
      </c>
      <c r="J9" s="14" t="n">
        <v>24</v>
      </c>
      <c r="K9" s="16" t="n">
        <v>1356.68</v>
      </c>
      <c r="L9" s="16" t="n">
        <v>1114.8</v>
      </c>
      <c r="M9" s="33" t="n">
        <v>0.8220000000000001</v>
      </c>
      <c r="N9" s="16" t="n">
        <v>32</v>
      </c>
      <c r="O9" s="18" t="n">
        <v>1178.11</v>
      </c>
      <c r="P9" s="18" t="n">
        <v>661.73</v>
      </c>
      <c r="Q9" s="19" t="n">
        <v>0.5620000000000001</v>
      </c>
      <c r="R9" s="18" t="n">
        <v>39</v>
      </c>
      <c r="S9" s="20" t="n">
        <v>520.33</v>
      </c>
      <c r="T9" s="20" t="n">
        <v>366.6</v>
      </c>
      <c r="U9" s="34" t="n">
        <v>0.705</v>
      </c>
      <c r="V9" s="20" t="n">
        <v>17</v>
      </c>
      <c r="W9" s="22" t="n">
        <v>4640.63</v>
      </c>
      <c r="X9" s="22" t="n">
        <v>3480.14</v>
      </c>
      <c r="Y9" s="23" t="n">
        <v>0.007499283502455485</v>
      </c>
      <c r="Z9" s="22" t="n">
        <v>137</v>
      </c>
    </row>
    <row r="10" ht="18" customHeight="1">
      <c r="A10" s="24" t="inlineStr">
        <is>
          <t>葉黃素</t>
        </is>
      </c>
      <c r="B10" s="25" t="inlineStr">
        <is>
          <t>B0FKBLZB11</t>
        </is>
      </c>
      <c r="C10" s="12" t="n">
        <v>140.05</v>
      </c>
      <c r="D10" s="12" t="n">
        <v>140.94</v>
      </c>
      <c r="E10" s="26" t="n">
        <v>1.006</v>
      </c>
      <c r="F10" s="12" t="n">
        <v>5</v>
      </c>
      <c r="G10" s="14" t="n">
        <v>160.15</v>
      </c>
      <c r="H10" s="14" t="n">
        <v>120.21</v>
      </c>
      <c r="I10" s="35" t="n">
        <v>0.7509999999999999</v>
      </c>
      <c r="J10" s="14" t="n">
        <v>5</v>
      </c>
      <c r="K10" s="16" t="n">
        <v>23.99</v>
      </c>
      <c r="L10" s="16" t="n">
        <v>156.61</v>
      </c>
      <c r="M10" s="28" t="n">
        <v>6.528</v>
      </c>
      <c r="N10" s="16" t="n">
        <v>1</v>
      </c>
      <c r="O10" s="18" t="n">
        <v>276.21</v>
      </c>
      <c r="P10" s="18" t="n">
        <v>285.22</v>
      </c>
      <c r="Q10" s="29" t="n">
        <v>1.033</v>
      </c>
      <c r="R10" s="18" t="n">
        <v>9</v>
      </c>
      <c r="S10" s="20" t="n">
        <v>368.28</v>
      </c>
      <c r="T10" s="20" t="n">
        <v>271.64</v>
      </c>
      <c r="U10" s="34" t="n">
        <v>0.738</v>
      </c>
      <c r="V10" s="20" t="n">
        <v>12</v>
      </c>
      <c r="W10" s="22" t="n">
        <v>968.6799999999999</v>
      </c>
      <c r="X10" s="22" t="n">
        <v>974.62</v>
      </c>
      <c r="Y10" s="23" t="n">
        <v>0.01006132055993723</v>
      </c>
      <c r="Z10" s="22" t="n">
        <v>32</v>
      </c>
    </row>
    <row r="11" ht="18" customHeight="1">
      <c r="A11" s="10" t="inlineStr">
        <is>
          <t>綜合維生素</t>
        </is>
      </c>
      <c r="B11" s="11" t="inlineStr">
        <is>
          <t>B0DY7H26GN</t>
        </is>
      </c>
      <c r="C11" s="12" t="n">
        <v>86.45</v>
      </c>
      <c r="D11" s="12" t="n">
        <v>56.5</v>
      </c>
      <c r="E11" s="13" t="n">
        <v>0.654</v>
      </c>
      <c r="F11" s="12" t="n">
        <v>5</v>
      </c>
      <c r="G11" s="14" t="n">
        <v>86.45</v>
      </c>
      <c r="H11" s="14" t="n">
        <v>31.4</v>
      </c>
      <c r="I11" s="15" t="n">
        <v>0.363</v>
      </c>
      <c r="J11" s="14" t="n">
        <v>5</v>
      </c>
      <c r="K11" s="16" t="n">
        <v>0</v>
      </c>
      <c r="L11" s="16" t="n">
        <v>18.4</v>
      </c>
      <c r="M11" s="36" t="n"/>
      <c r="N11" s="16" t="n">
        <v>0</v>
      </c>
      <c r="O11" s="18" t="n">
        <v>52.97</v>
      </c>
      <c r="P11" s="18" t="n">
        <v>8.039999999999999</v>
      </c>
      <c r="Q11" s="19" t="n">
        <v>0.152</v>
      </c>
      <c r="R11" s="18" t="n">
        <v>3</v>
      </c>
      <c r="S11" s="20" t="n">
        <v>58.47</v>
      </c>
      <c r="T11" s="20" t="n">
        <v>61.9</v>
      </c>
      <c r="U11" s="30" t="n">
        <v>1.059</v>
      </c>
      <c r="V11" s="20" t="n">
        <v>3</v>
      </c>
      <c r="W11" s="22" t="n">
        <v>284.34</v>
      </c>
      <c r="X11" s="22" t="n">
        <v>176.24</v>
      </c>
      <c r="Y11" s="23" t="n">
        <v>0.006198213406485195</v>
      </c>
      <c r="Z11" s="22" t="n">
        <v>16</v>
      </c>
    </row>
    <row r="12" ht="20" customHeight="1">
      <c r="A12" s="37" t="inlineStr">
        <is>
          <t>ACCOUNT TOTAL</t>
        </is>
      </c>
      <c r="C12" s="38" t="n">
        <v>6368.650000000001</v>
      </c>
      <c r="D12" s="38" t="n">
        <v>3908.08</v>
      </c>
      <c r="E12" s="39" t="n">
        <v>0.006136433938118754</v>
      </c>
      <c r="F12" s="38" t="n">
        <v>229</v>
      </c>
      <c r="G12" s="38" t="n">
        <v>6020.98</v>
      </c>
      <c r="H12" s="38" t="n">
        <v>4475.49</v>
      </c>
      <c r="I12" s="39" t="n">
        <v>0.007433158721669894</v>
      </c>
      <c r="J12" s="38" t="n">
        <v>222</v>
      </c>
      <c r="K12" s="38" t="n">
        <v>6208.22</v>
      </c>
      <c r="L12" s="38" t="n">
        <v>5695.82</v>
      </c>
      <c r="M12" s="39" t="n">
        <v>0.009174642651194706</v>
      </c>
      <c r="N12" s="38" t="n">
        <v>222</v>
      </c>
      <c r="O12" s="38" t="n">
        <v>10090.5</v>
      </c>
      <c r="P12" s="38" t="n">
        <v>6083.610000000001</v>
      </c>
      <c r="Q12" s="39" t="n">
        <v>0.006029047123532036</v>
      </c>
      <c r="R12" s="38" t="n">
        <v>360</v>
      </c>
      <c r="S12" s="38" t="n">
        <v>8139.53</v>
      </c>
      <c r="T12" s="38" t="n">
        <v>5255.63</v>
      </c>
      <c r="U12" s="39" t="n">
        <v>0.006456920731295296</v>
      </c>
      <c r="V12" s="38" t="n">
        <v>296</v>
      </c>
      <c r="W12" s="38" t="n">
        <v>36827.88</v>
      </c>
      <c r="X12" s="38" t="n">
        <v>25418.63</v>
      </c>
      <c r="Y12" s="39" t="n">
        <v>0.006902007392225673</v>
      </c>
      <c r="Z12" s="38" t="n">
        <v>1329</v>
      </c>
    </row>
  </sheetData>
  <mergeCells count="8">
    <mergeCell ref="C3:F3"/>
    <mergeCell ref="S3:V3"/>
    <mergeCell ref="G3:J3"/>
    <mergeCell ref="W3:Z3"/>
    <mergeCell ref="K3:N3"/>
    <mergeCell ref="O3:R3"/>
    <mergeCell ref="A1:Q1"/>
    <mergeCell ref="A12:B1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0f172a"/>
    <outlinePr summaryBelow="1" summaryRight="1"/>
    <pageSetUpPr/>
  </sheetPr>
  <dimension ref="A1:P45"/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4" customWidth="1" min="2" max="2"/>
    <col width="6" customWidth="1" min="3" max="3"/>
    <col width="12" customWidth="1" min="4" max="4"/>
    <col width="11" customWidth="1" min="5" max="5"/>
    <col width="13" customWidth="1" min="6" max="6"/>
    <col width="12" customWidth="1" min="7" max="7"/>
    <col width="13" customWidth="1" min="8" max="8"/>
    <col width="7" customWidth="1" min="9" max="9"/>
    <col width="11" customWidth="1" min="10" max="10"/>
    <col width="9" customWidth="1" min="11" max="11"/>
    <col width="11" customWidth="1" min="12" max="12"/>
    <col width="9" customWidth="1" min="13" max="13"/>
    <col width="10" customWidth="1" min="14" max="14"/>
    <col width="10" customWidth="1" min="15" max="15"/>
    <col width="12" customWidth="1" min="16" max="16"/>
  </cols>
  <sheetData>
    <row r="1" ht="24" customHeight="1">
      <c r="A1" s="40" t="inlineStr">
        <is>
          <t>Weekly Raw Data — All Metrics per Product per Week  (Source: ScaleInsight + Amazon Ads Console)</t>
        </is>
      </c>
    </row>
    <row r="2" ht="4" customHeight="1"/>
    <row r="3" ht="20" customHeight="1">
      <c r="A3" s="41" t="inlineStr">
        <is>
          <t>Product (ZH)</t>
        </is>
      </c>
      <c r="B3" s="41" t="inlineStr">
        <is>
          <t>Parent ASIN</t>
        </is>
      </c>
      <c r="C3" s="41" t="inlineStr">
        <is>
          <t>Week</t>
        </is>
      </c>
      <c r="D3" s="41" t="inlineStr">
        <is>
          <t>Period</t>
        </is>
      </c>
      <c r="E3" s="41" t="inlineStr">
        <is>
          <t>Sales ($)</t>
        </is>
      </c>
      <c r="F3" s="41" t="inlineStr">
        <is>
          <t>SP+SD Spend ($)</t>
        </is>
      </c>
      <c r="G3" s="41" t="inlineStr">
        <is>
          <t>SB Spend ($)</t>
        </is>
      </c>
      <c r="H3" s="41" t="inlineStr">
        <is>
          <t>Total Spend ($)</t>
        </is>
      </c>
      <c r="I3" s="41" t="inlineStr">
        <is>
          <t>Units</t>
        </is>
      </c>
      <c r="J3" s="41" t="inlineStr">
        <is>
          <t>Organic Units</t>
        </is>
      </c>
      <c r="K3" s="41" t="inlineStr">
        <is>
          <t>PPC Units</t>
        </is>
      </c>
      <c r="L3" s="41" t="inlineStr">
        <is>
          <t>Profits ($)</t>
        </is>
      </c>
      <c r="M3" s="41" t="inlineStr">
        <is>
          <t>TACOS (%)</t>
        </is>
      </c>
      <c r="N3" s="41" t="inlineStr">
        <is>
          <t>ACOS (approx)</t>
        </is>
      </c>
      <c r="O3" s="41" t="inlineStr">
        <is>
          <t>SP+SD ACOS</t>
        </is>
      </c>
      <c r="P3" s="41" t="inlineStr">
        <is>
          <t>SB Attr Sales</t>
        </is>
      </c>
    </row>
    <row r="4" ht="16" customHeight="1">
      <c r="A4" s="42" t="inlineStr">
        <is>
          <t>納豆激酶</t>
        </is>
      </c>
      <c r="B4" s="43" t="inlineStr">
        <is>
          <t>B0DTV2XP8T</t>
        </is>
      </c>
      <c r="C4" s="44" t="inlineStr">
        <is>
          <t>W1</t>
        </is>
      </c>
      <c r="D4" s="43" t="inlineStr">
        <is>
          <t>Feb 1–7</t>
        </is>
      </c>
      <c r="E4" s="45" t="n">
        <v>2376.67</v>
      </c>
      <c r="F4" s="45" t="n">
        <v>182.28</v>
      </c>
      <c r="G4" s="45" t="n">
        <v>399.57</v>
      </c>
      <c r="H4" s="45" t="n">
        <v>581.85</v>
      </c>
      <c r="I4" s="12" t="n">
        <v>67</v>
      </c>
      <c r="J4" s="12" t="n">
        <v>59</v>
      </c>
      <c r="K4" s="12" t="n">
        <v>10</v>
      </c>
      <c r="L4" s="45" t="n">
        <v>1380.99</v>
      </c>
      <c r="M4" s="46" t="n">
        <v>24.5</v>
      </c>
      <c r="N4" s="47" t="n">
        <v>24.48173284469447</v>
      </c>
      <c r="O4" s="47" t="n">
        <v>7.669554460652931</v>
      </c>
      <c r="P4" s="48" t="n">
        <v>728.77</v>
      </c>
    </row>
    <row r="5" ht="16" customHeight="1">
      <c r="A5" s="49" t="inlineStr">
        <is>
          <t>納豆激酶</t>
        </is>
      </c>
      <c r="B5" s="50" t="inlineStr">
        <is>
          <t>B0DTV2XP8T</t>
        </is>
      </c>
      <c r="C5" s="51" t="inlineStr">
        <is>
          <t>W2</t>
        </is>
      </c>
      <c r="D5" s="50" t="inlineStr">
        <is>
          <t>Feb 8–14</t>
        </is>
      </c>
      <c r="E5" s="52" t="n">
        <v>1973.43</v>
      </c>
      <c r="F5" s="52" t="n">
        <v>130.07</v>
      </c>
      <c r="G5" s="52" t="n">
        <v>300.96</v>
      </c>
      <c r="H5" s="52" t="n">
        <v>431.03</v>
      </c>
      <c r="I5" s="14" t="n">
        <v>57</v>
      </c>
      <c r="J5" s="14" t="n">
        <v>52</v>
      </c>
      <c r="K5" s="14" t="n">
        <v>5</v>
      </c>
      <c r="L5" s="52" t="n">
        <v>1140.73</v>
      </c>
      <c r="M5" s="53" t="n">
        <v>21.8</v>
      </c>
      <c r="N5" s="54" t="n">
        <v>21.84166653998368</v>
      </c>
      <c r="O5" s="54" t="n">
        <v>6.591062262152699</v>
      </c>
      <c r="P5" s="55" t="n">
        <v>605.12</v>
      </c>
    </row>
    <row r="6" ht="16" customHeight="1">
      <c r="A6" s="56" t="inlineStr">
        <is>
          <t>納豆激酶</t>
        </is>
      </c>
      <c r="B6" s="57" t="inlineStr">
        <is>
          <t>B0DTV2XP8T</t>
        </is>
      </c>
      <c r="C6" s="58" t="inlineStr">
        <is>
          <t>W3</t>
        </is>
      </c>
      <c r="D6" s="57" t="inlineStr">
        <is>
          <t>Feb 15–21</t>
        </is>
      </c>
      <c r="E6" s="59" t="n">
        <v>1531.3</v>
      </c>
      <c r="F6" s="59" t="n">
        <v>95.34999999999999</v>
      </c>
      <c r="G6" s="59" t="n">
        <v>268.27</v>
      </c>
      <c r="H6" s="59" t="n">
        <v>363.62</v>
      </c>
      <c r="I6" s="16" t="n">
        <v>44</v>
      </c>
      <c r="J6" s="16" t="n">
        <v>39</v>
      </c>
      <c r="K6" s="16" t="n">
        <v>5</v>
      </c>
      <c r="L6" s="59" t="n">
        <v>898.74</v>
      </c>
      <c r="M6" s="60" t="n">
        <v>23.7</v>
      </c>
      <c r="N6" s="61" t="n">
        <v>23.7458368706328</v>
      </c>
      <c r="O6" s="61" t="n">
        <v>6.226735453536211</v>
      </c>
      <c r="P6" s="62" t="n">
        <v>469.55</v>
      </c>
    </row>
    <row r="7" ht="16" customHeight="1">
      <c r="A7" s="63" t="inlineStr">
        <is>
          <t>納豆激酶</t>
        </is>
      </c>
      <c r="B7" s="64" t="inlineStr">
        <is>
          <t>B0DTV2XP8T</t>
        </is>
      </c>
      <c r="C7" s="65" t="inlineStr">
        <is>
          <t>W4</t>
        </is>
      </c>
      <c r="D7" s="64" t="inlineStr">
        <is>
          <t>Feb 22–28</t>
        </is>
      </c>
      <c r="E7" s="66" t="n">
        <v>1160.23</v>
      </c>
      <c r="F7" s="66" t="n">
        <v>160.69</v>
      </c>
      <c r="G7" s="66" t="n">
        <v>290.13</v>
      </c>
      <c r="H7" s="66" t="n">
        <v>450.82</v>
      </c>
      <c r="I7" s="18" t="n">
        <v>37</v>
      </c>
      <c r="J7" s="18" t="n">
        <v>30</v>
      </c>
      <c r="K7" s="18" t="n">
        <v>7</v>
      </c>
      <c r="L7" s="66" t="n">
        <v>607.84</v>
      </c>
      <c r="M7" s="67" t="n">
        <v>38.9</v>
      </c>
      <c r="N7" s="68" t="n">
        <v>38.85608887892918</v>
      </c>
      <c r="O7" s="68" t="n">
        <v>13.84984011790766</v>
      </c>
      <c r="P7" s="69" t="n">
        <v>355.77</v>
      </c>
    </row>
    <row r="8" ht="16" customHeight="1">
      <c r="A8" s="70" t="inlineStr">
        <is>
          <t>納豆激酶</t>
        </is>
      </c>
      <c r="B8" s="71" t="inlineStr">
        <is>
          <t>B0DTV2XP8T</t>
        </is>
      </c>
      <c r="C8" s="72" t="inlineStr">
        <is>
          <t>W5</t>
        </is>
      </c>
      <c r="D8" s="71" t="inlineStr">
        <is>
          <t>Mar 1–7</t>
        </is>
      </c>
      <c r="E8" s="73" t="n">
        <v>3261.18</v>
      </c>
      <c r="F8" s="73" t="n">
        <v>377.06</v>
      </c>
      <c r="G8" s="73" t="n">
        <v>648.55</v>
      </c>
      <c r="H8" s="73" t="n">
        <v>1025.61</v>
      </c>
      <c r="I8" s="20" t="n">
        <v>96</v>
      </c>
      <c r="J8" s="20" t="n">
        <v>83</v>
      </c>
      <c r="K8" s="20" t="n">
        <v>11</v>
      </c>
      <c r="L8" s="73" t="n">
        <v>1788.03</v>
      </c>
      <c r="M8" s="74" t="n">
        <v>31.4</v>
      </c>
      <c r="N8" s="75" t="n">
        <v>31.44904605081596</v>
      </c>
      <c r="O8" s="75" t="n">
        <v>11.56207262401953</v>
      </c>
      <c r="P8" s="76" t="n">
        <v>999.99</v>
      </c>
    </row>
    <row r="9" ht="18" customHeight="1">
      <c r="A9" s="77" t="inlineStr">
        <is>
          <t xml:space="preserve">  ↳ 納豆激酶 Total</t>
        </is>
      </c>
      <c r="B9" s="78" t="inlineStr">
        <is>
          <t>B0DTV2XP8T</t>
        </is>
      </c>
      <c r="C9" s="79" t="inlineStr">
        <is>
          <t>W1–W5</t>
        </is>
      </c>
      <c r="D9" s="78" t="inlineStr">
        <is>
          <t>Total</t>
        </is>
      </c>
      <c r="E9" s="80">
        <f>SUM(E4:E8)</f>
        <v/>
      </c>
      <c r="F9" s="80">
        <f>SUM(F4:F8)</f>
        <v/>
      </c>
      <c r="G9" s="80">
        <f>SUM(G4:G8)</f>
        <v/>
      </c>
      <c r="H9" s="80">
        <f>SUM(H4:H8)</f>
        <v/>
      </c>
      <c r="I9" s="81">
        <f>SUM(I4:I8)</f>
        <v/>
      </c>
      <c r="J9" s="81">
        <f>SUM(J4:J8)</f>
        <v/>
      </c>
      <c r="K9" s="81">
        <f>SUM(K4:K8)</f>
        <v/>
      </c>
      <c r="L9" s="80">
        <f>SUM(L4:L8)</f>
        <v/>
      </c>
      <c r="M9" s="82">
        <f>IF(E9&gt;0,H9/E9*100,"—")</f>
        <v/>
      </c>
      <c r="P9" s="83" t="n">
        <v>3159.2</v>
      </c>
    </row>
    <row r="10" ht="16" customHeight="1">
      <c r="A10" s="42" t="inlineStr">
        <is>
          <t>兒童魚油軟糖</t>
        </is>
      </c>
      <c r="B10" s="43" t="inlineStr">
        <is>
          <t>B0G7SGXFC1</t>
        </is>
      </c>
      <c r="C10" s="44" t="inlineStr">
        <is>
          <t>W1</t>
        </is>
      </c>
      <c r="D10" s="43" t="inlineStr">
        <is>
          <t>Feb 1–7</t>
        </is>
      </c>
      <c r="E10" s="45" t="n">
        <v>1330.33</v>
      </c>
      <c r="F10" s="45" t="n">
        <v>1277.37</v>
      </c>
      <c r="G10" s="45" t="n">
        <v>272.39</v>
      </c>
      <c r="H10" s="45" t="n">
        <v>1549.76</v>
      </c>
      <c r="I10" s="12" t="n">
        <v>67</v>
      </c>
      <c r="J10" s="12" t="n">
        <v>30</v>
      </c>
      <c r="K10" s="12" t="n">
        <v>40</v>
      </c>
      <c r="L10" s="84" t="n">
        <v>-456.82</v>
      </c>
      <c r="M10" s="85" t="n">
        <v>116.5</v>
      </c>
      <c r="N10" s="47" t="n">
        <v>116.4944036442086</v>
      </c>
      <c r="O10" s="47" t="n">
        <v>96.01903287154315</v>
      </c>
      <c r="P10" s="48" t="n">
        <v>250.03</v>
      </c>
    </row>
    <row r="11" ht="16" customHeight="1">
      <c r="A11" s="49" t="inlineStr">
        <is>
          <t>兒童魚油軟糖</t>
        </is>
      </c>
      <c r="B11" s="50" t="inlineStr">
        <is>
          <t>B0G7SGXFC1</t>
        </is>
      </c>
      <c r="C11" s="51" t="inlineStr">
        <is>
          <t>W2</t>
        </is>
      </c>
      <c r="D11" s="50" t="inlineStr">
        <is>
          <t>Feb 8–14</t>
        </is>
      </c>
      <c r="E11" s="52" t="n">
        <v>1162.42</v>
      </c>
      <c r="F11" s="52" t="n">
        <v>1198.78</v>
      </c>
      <c r="G11" s="52" t="n">
        <v>205.16</v>
      </c>
      <c r="H11" s="52" t="n">
        <v>1403.94</v>
      </c>
      <c r="I11" s="14" t="n">
        <v>58</v>
      </c>
      <c r="J11" s="14" t="n">
        <v>27</v>
      </c>
      <c r="K11" s="14" t="n">
        <v>31</v>
      </c>
      <c r="L11" s="86" t="n">
        <v>-628.51</v>
      </c>
      <c r="M11" s="87" t="n">
        <v>120.8</v>
      </c>
      <c r="N11" s="54" t="n">
        <v>120.7773438172089</v>
      </c>
      <c r="O11" s="54" t="n">
        <v>103.127957192753</v>
      </c>
      <c r="P11" s="55" t="n">
        <v>218.47</v>
      </c>
    </row>
    <row r="12" ht="16" customHeight="1">
      <c r="A12" s="56" t="inlineStr">
        <is>
          <t>兒童魚油軟糖</t>
        </is>
      </c>
      <c r="B12" s="57" t="inlineStr">
        <is>
          <t>B0G7SGXFC1</t>
        </is>
      </c>
      <c r="C12" s="58" t="inlineStr">
        <is>
          <t>W3</t>
        </is>
      </c>
      <c r="D12" s="57" t="inlineStr">
        <is>
          <t>Feb 15–21</t>
        </is>
      </c>
      <c r="E12" s="59" t="n">
        <v>1480.3</v>
      </c>
      <c r="F12" s="59" t="n">
        <v>1939.85</v>
      </c>
      <c r="G12" s="59" t="n">
        <v>182.88</v>
      </c>
      <c r="H12" s="59" t="n">
        <v>2122.73</v>
      </c>
      <c r="I12" s="16" t="n">
        <v>70</v>
      </c>
      <c r="J12" s="16" t="n">
        <v>34</v>
      </c>
      <c r="K12" s="16" t="n">
        <v>36</v>
      </c>
      <c r="L12" s="88" t="n">
        <v>-1145.14</v>
      </c>
      <c r="M12" s="89" t="n">
        <v>143.4</v>
      </c>
      <c r="N12" s="61" t="n">
        <v>143.3986354117409</v>
      </c>
      <c r="O12" s="61" t="n">
        <v>131.044382895359</v>
      </c>
      <c r="P12" s="62" t="n">
        <v>278.21</v>
      </c>
    </row>
    <row r="13" ht="16" customHeight="1">
      <c r="A13" s="63" t="inlineStr">
        <is>
          <t>兒童魚油軟糖</t>
        </is>
      </c>
      <c r="B13" s="64" t="inlineStr">
        <is>
          <t>B0G7SGXFC1</t>
        </is>
      </c>
      <c r="C13" s="65" t="inlineStr">
        <is>
          <t>W4</t>
        </is>
      </c>
      <c r="D13" s="64" t="inlineStr">
        <is>
          <t>Feb 22–28</t>
        </is>
      </c>
      <c r="E13" s="66" t="n">
        <v>2682.76</v>
      </c>
      <c r="F13" s="66" t="n">
        <v>2568.27</v>
      </c>
      <c r="G13" s="66" t="n">
        <v>197.78</v>
      </c>
      <c r="H13" s="66" t="n">
        <v>2766.05</v>
      </c>
      <c r="I13" s="18" t="n">
        <v>124</v>
      </c>
      <c r="J13" s="18" t="n">
        <v>80</v>
      </c>
      <c r="K13" s="18" t="n">
        <v>44</v>
      </c>
      <c r="L13" s="90" t="n">
        <v>-1014.24</v>
      </c>
      <c r="M13" s="91" t="n">
        <v>103.1</v>
      </c>
      <c r="N13" s="68" t="n">
        <v>103.1046385066126</v>
      </c>
      <c r="O13" s="68" t="n">
        <v>95.73238008617989</v>
      </c>
      <c r="P13" s="69" t="n">
        <v>504.21</v>
      </c>
    </row>
    <row r="14" ht="16" customHeight="1">
      <c r="A14" s="70" t="inlineStr">
        <is>
          <t>兒童魚油軟糖</t>
        </is>
      </c>
      <c r="B14" s="71" t="inlineStr">
        <is>
          <t>B0G7SGXFC1</t>
        </is>
      </c>
      <c r="C14" s="72" t="inlineStr">
        <is>
          <t>W5</t>
        </is>
      </c>
      <c r="D14" s="71" t="inlineStr">
        <is>
          <t>Mar 1–7</t>
        </is>
      </c>
      <c r="E14" s="73" t="n">
        <v>1656.36</v>
      </c>
      <c r="F14" s="73" t="n">
        <v>2307.36</v>
      </c>
      <c r="G14" s="73" t="n">
        <v>158.18</v>
      </c>
      <c r="H14" s="73" t="n">
        <v>2465.54</v>
      </c>
      <c r="I14" s="20" t="n">
        <v>79</v>
      </c>
      <c r="J14" s="20" t="n">
        <v>47</v>
      </c>
      <c r="K14" s="20" t="n">
        <v>29</v>
      </c>
      <c r="L14" s="92" t="n">
        <v>-1281.85</v>
      </c>
      <c r="M14" s="93" t="n">
        <v>148.9</v>
      </c>
      <c r="N14" s="75" t="n">
        <v>148.8529063730107</v>
      </c>
      <c r="O14" s="75" t="n">
        <v>139.3030500615808</v>
      </c>
      <c r="P14" s="76" t="n">
        <v>311.3</v>
      </c>
    </row>
    <row r="15" ht="18" customHeight="1">
      <c r="A15" s="77" t="inlineStr">
        <is>
          <t xml:space="preserve">  ↳ 兒童魚油軟糖 Total</t>
        </is>
      </c>
      <c r="B15" s="78" t="inlineStr">
        <is>
          <t>B0G7SGXFC1</t>
        </is>
      </c>
      <c r="C15" s="79" t="inlineStr">
        <is>
          <t>W1–W5</t>
        </is>
      </c>
      <c r="D15" s="78" t="inlineStr">
        <is>
          <t>Total</t>
        </is>
      </c>
      <c r="E15" s="80">
        <f>SUM(E10:E14)</f>
        <v/>
      </c>
      <c r="F15" s="80">
        <f>SUM(F10:F14)</f>
        <v/>
      </c>
      <c r="G15" s="80">
        <f>SUM(G10:G14)</f>
        <v/>
      </c>
      <c r="H15" s="80">
        <f>SUM(H10:H14)</f>
        <v/>
      </c>
      <c r="I15" s="81">
        <f>SUM(I10:I14)</f>
        <v/>
      </c>
      <c r="J15" s="81">
        <f>SUM(J10:J14)</f>
        <v/>
      </c>
      <c r="K15" s="81">
        <f>SUM(K10:K14)</f>
        <v/>
      </c>
      <c r="L15" s="80">
        <f>SUM(L10:L14)</f>
        <v/>
      </c>
      <c r="M15" s="82">
        <f>IF(E15&gt;0,H15/E15*100,"—")</f>
        <v/>
      </c>
      <c r="P15" s="83" t="n">
        <v>1562.22</v>
      </c>
    </row>
    <row r="16" ht="16" customHeight="1">
      <c r="A16" s="42" t="inlineStr">
        <is>
          <t>瑪卡粉</t>
        </is>
      </c>
      <c r="B16" s="43" t="inlineStr">
        <is>
          <t>B09Y8VBQTV</t>
        </is>
      </c>
      <c r="C16" s="44" t="inlineStr">
        <is>
          <t>W1</t>
        </is>
      </c>
      <c r="D16" s="43" t="inlineStr">
        <is>
          <t>Feb 1–7</t>
        </is>
      </c>
      <c r="E16" s="45" t="n">
        <v>935.6</v>
      </c>
      <c r="F16" s="45" t="n">
        <v>649.09</v>
      </c>
      <c r="G16" s="45" t="n">
        <v>61.49</v>
      </c>
      <c r="H16" s="45" t="n">
        <v>710.58</v>
      </c>
      <c r="I16" s="12" t="n">
        <v>40</v>
      </c>
      <c r="J16" s="12" t="n">
        <v>19</v>
      </c>
      <c r="K16" s="12" t="n">
        <v>22</v>
      </c>
      <c r="L16" s="84" t="n">
        <v>-77.59999999999999</v>
      </c>
      <c r="M16" s="94" t="n">
        <v>75.90000000000001</v>
      </c>
      <c r="N16" s="47" t="n">
        <v>75.94912355707567</v>
      </c>
      <c r="O16" s="47" t="n">
        <v>69.37687045746046</v>
      </c>
      <c r="P16" s="48" t="n">
        <v>46.32</v>
      </c>
    </row>
    <row r="17" ht="16" customHeight="1">
      <c r="A17" s="49" t="inlineStr">
        <is>
          <t>瑪卡粉</t>
        </is>
      </c>
      <c r="B17" s="50" t="inlineStr">
        <is>
          <t>B09Y8VBQTV</t>
        </is>
      </c>
      <c r="C17" s="51" t="inlineStr">
        <is>
          <t>W2</t>
        </is>
      </c>
      <c r="D17" s="50" t="inlineStr">
        <is>
          <t>Feb 8–14</t>
        </is>
      </c>
      <c r="E17" s="52" t="n">
        <v>1286.45</v>
      </c>
      <c r="F17" s="52" t="n">
        <v>691.77</v>
      </c>
      <c r="G17" s="52" t="n">
        <v>46.31</v>
      </c>
      <c r="H17" s="52" t="n">
        <v>738.08</v>
      </c>
      <c r="I17" s="14" t="n">
        <v>55</v>
      </c>
      <c r="J17" s="14" t="n">
        <v>28</v>
      </c>
      <c r="K17" s="14" t="n">
        <v>27</v>
      </c>
      <c r="L17" s="52" t="n">
        <v>85.39</v>
      </c>
      <c r="M17" s="53" t="n">
        <v>57.4</v>
      </c>
      <c r="N17" s="54" t="n">
        <v>57.37339189241711</v>
      </c>
      <c r="O17" s="54" t="n">
        <v>53.77356290567064</v>
      </c>
      <c r="P17" s="55" t="n">
        <v>63.69</v>
      </c>
    </row>
    <row r="18" ht="16" customHeight="1">
      <c r="A18" s="56" t="inlineStr">
        <is>
          <t>瑪卡粉</t>
        </is>
      </c>
      <c r="B18" s="57" t="inlineStr">
        <is>
          <t>B09Y8VBQTV</t>
        </is>
      </c>
      <c r="C18" s="58" t="inlineStr">
        <is>
          <t>W3</t>
        </is>
      </c>
      <c r="D18" s="57" t="inlineStr">
        <is>
          <t>Feb 15–21</t>
        </is>
      </c>
      <c r="E18" s="59" t="n">
        <v>1473.57</v>
      </c>
      <c r="F18" s="59" t="n">
        <v>1267.37</v>
      </c>
      <c r="G18" s="59" t="n">
        <v>41.28</v>
      </c>
      <c r="H18" s="59" t="n">
        <v>1308.65</v>
      </c>
      <c r="I18" s="16" t="n">
        <v>63</v>
      </c>
      <c r="J18" s="16" t="n">
        <v>28</v>
      </c>
      <c r="K18" s="16" t="n">
        <v>35</v>
      </c>
      <c r="L18" s="88" t="n">
        <v>-356.36</v>
      </c>
      <c r="M18" s="89" t="n">
        <v>88.8</v>
      </c>
      <c r="N18" s="61" t="n">
        <v>88.80813263027886</v>
      </c>
      <c r="O18" s="61" t="n">
        <v>86.00677266773889</v>
      </c>
      <c r="P18" s="62" t="n">
        <v>72.95</v>
      </c>
    </row>
    <row r="19" ht="16" customHeight="1">
      <c r="A19" s="63" t="inlineStr">
        <is>
          <t>瑪卡粉</t>
        </is>
      </c>
      <c r="B19" s="64" t="inlineStr">
        <is>
          <t>B09Y8VBQTV</t>
        </is>
      </c>
      <c r="C19" s="65" t="inlineStr">
        <is>
          <t>W4</t>
        </is>
      </c>
      <c r="D19" s="64" t="inlineStr">
        <is>
          <t>Feb 22–28</t>
        </is>
      </c>
      <c r="E19" s="66" t="n">
        <v>1707.47</v>
      </c>
      <c r="F19" s="66" t="n">
        <v>1164.88</v>
      </c>
      <c r="G19" s="66" t="n">
        <v>44.65</v>
      </c>
      <c r="H19" s="66" t="n">
        <v>1209.53</v>
      </c>
      <c r="I19" s="18" t="n">
        <v>73</v>
      </c>
      <c r="J19" s="18" t="n">
        <v>39</v>
      </c>
      <c r="K19" s="18" t="n">
        <v>34</v>
      </c>
      <c r="L19" s="90" t="n">
        <v>-132.54</v>
      </c>
      <c r="M19" s="95" t="n">
        <v>70.8</v>
      </c>
      <c r="N19" s="68" t="n">
        <v>70.83755497900403</v>
      </c>
      <c r="O19" s="68" t="n">
        <v>68.22257492078924</v>
      </c>
      <c r="P19" s="69" t="n">
        <v>84.53</v>
      </c>
    </row>
    <row r="20" ht="16" customHeight="1">
      <c r="A20" s="70" t="inlineStr">
        <is>
          <t>瑪卡粉</t>
        </is>
      </c>
      <c r="B20" s="71" t="inlineStr">
        <is>
          <t>B09Y8VBQTV</t>
        </is>
      </c>
      <c r="C20" s="72" t="inlineStr">
        <is>
          <t>W5</t>
        </is>
      </c>
      <c r="D20" s="71" t="inlineStr">
        <is>
          <t>Mar 1–7</t>
        </is>
      </c>
      <c r="E20" s="73" t="n">
        <v>1684.08</v>
      </c>
      <c r="F20" s="73" t="n">
        <v>992.98</v>
      </c>
      <c r="G20" s="73" t="n">
        <v>34.81</v>
      </c>
      <c r="H20" s="73" t="n">
        <v>1027.79</v>
      </c>
      <c r="I20" s="20" t="n">
        <v>72</v>
      </c>
      <c r="J20" s="20" t="n">
        <v>45</v>
      </c>
      <c r="K20" s="20" t="n">
        <v>27</v>
      </c>
      <c r="L20" s="73" t="n">
        <v>86.88</v>
      </c>
      <c r="M20" s="74" t="n">
        <v>61</v>
      </c>
      <c r="N20" s="75" t="n">
        <v>61.02976105648188</v>
      </c>
      <c r="O20" s="75" t="n">
        <v>58.96275711367631</v>
      </c>
      <c r="P20" s="76" t="n">
        <v>83.37</v>
      </c>
    </row>
    <row r="21" ht="18" customHeight="1">
      <c r="A21" s="77" t="inlineStr">
        <is>
          <t xml:space="preserve">  ↳ 瑪卡粉 Total</t>
        </is>
      </c>
      <c r="B21" s="78" t="inlineStr">
        <is>
          <t>B09Y8VBQTV</t>
        </is>
      </c>
      <c r="C21" s="79" t="inlineStr">
        <is>
          <t>W1–W5</t>
        </is>
      </c>
      <c r="D21" s="78" t="inlineStr">
        <is>
          <t>Total</t>
        </is>
      </c>
      <c r="E21" s="80">
        <f>SUM(E16:E20)</f>
        <v/>
      </c>
      <c r="F21" s="80">
        <f>SUM(F16:F20)</f>
        <v/>
      </c>
      <c r="G21" s="80">
        <f>SUM(G16:G20)</f>
        <v/>
      </c>
      <c r="H21" s="80">
        <f>SUM(H16:H20)</f>
        <v/>
      </c>
      <c r="I21" s="81">
        <f>SUM(I16:I20)</f>
        <v/>
      </c>
      <c r="J21" s="81">
        <f>SUM(J16:J20)</f>
        <v/>
      </c>
      <c r="K21" s="81">
        <f>SUM(K16:K20)</f>
        <v/>
      </c>
      <c r="L21" s="80">
        <f>SUM(L16:L20)</f>
        <v/>
      </c>
      <c r="M21" s="82">
        <f>IF(E21&gt;0,H21/E21*100,"—")</f>
        <v/>
      </c>
      <c r="P21" s="83" t="n">
        <v>350.85</v>
      </c>
    </row>
    <row r="22" ht="16" customHeight="1">
      <c r="A22" s="42" t="inlineStr">
        <is>
          <t>成人頂級魚油</t>
        </is>
      </c>
      <c r="B22" s="43" t="inlineStr">
        <is>
          <t>B0DYHLCY51</t>
        </is>
      </c>
      <c r="C22" s="44" t="inlineStr">
        <is>
          <t>W1</t>
        </is>
      </c>
      <c r="D22" s="43" t="inlineStr">
        <is>
          <t>Feb 1–7</t>
        </is>
      </c>
      <c r="E22" s="45" t="n">
        <v>706.3</v>
      </c>
      <c r="F22" s="45" t="n">
        <v>162.96</v>
      </c>
      <c r="G22" s="45" t="n">
        <v>108.29</v>
      </c>
      <c r="H22" s="45" t="n">
        <v>271.25</v>
      </c>
      <c r="I22" s="12" t="n">
        <v>20</v>
      </c>
      <c r="J22" s="12" t="n">
        <v>17</v>
      </c>
      <c r="K22" s="12" t="n">
        <v>3</v>
      </c>
      <c r="L22" s="45" t="n">
        <v>311.39</v>
      </c>
      <c r="M22" s="46" t="n">
        <v>38.4</v>
      </c>
      <c r="N22" s="47" t="n">
        <v>38.40436075322101</v>
      </c>
      <c r="O22" s="47" t="n">
        <v>23.07234886025768</v>
      </c>
      <c r="P22" s="48" t="n">
        <v>70.38</v>
      </c>
    </row>
    <row r="23" ht="16" customHeight="1">
      <c r="A23" s="49" t="inlineStr">
        <is>
          <t>成人頂級魚油</t>
        </is>
      </c>
      <c r="B23" s="50" t="inlineStr">
        <is>
          <t>B0DYHLCY51</t>
        </is>
      </c>
      <c r="C23" s="51" t="inlineStr">
        <is>
          <t>W2</t>
        </is>
      </c>
      <c r="D23" s="50" t="inlineStr">
        <is>
          <t>Feb 8–14</t>
        </is>
      </c>
      <c r="E23" s="52" t="n">
        <v>559.8200000000001</v>
      </c>
      <c r="F23" s="52" t="n">
        <v>929.45</v>
      </c>
      <c r="G23" s="52" t="n">
        <v>81.56999999999999</v>
      </c>
      <c r="H23" s="52" t="n">
        <v>1011.02</v>
      </c>
      <c r="I23" s="14" t="n">
        <v>18</v>
      </c>
      <c r="J23" s="14" t="n">
        <v>11</v>
      </c>
      <c r="K23" s="14" t="n">
        <v>9</v>
      </c>
      <c r="L23" s="86" t="n">
        <v>-536.24</v>
      </c>
      <c r="M23" s="87" t="n">
        <v>180.6</v>
      </c>
      <c r="N23" s="54" t="n">
        <v>180.5973348576328</v>
      </c>
      <c r="O23" s="54" t="n">
        <v>166.0265799721339</v>
      </c>
      <c r="P23" s="55" t="n">
        <v>55.78</v>
      </c>
    </row>
    <row r="24" ht="16" customHeight="1">
      <c r="A24" s="56" t="inlineStr">
        <is>
          <t>成人頂級魚油</t>
        </is>
      </c>
      <c r="B24" s="57" t="inlineStr">
        <is>
          <t>B0DYHLCY51</t>
        </is>
      </c>
      <c r="C24" s="58" t="inlineStr">
        <is>
          <t>W3</t>
        </is>
      </c>
      <c r="D24" s="57" t="inlineStr">
        <is>
          <t>Feb 15–21</t>
        </is>
      </c>
      <c r="E24" s="59" t="n">
        <v>342.38</v>
      </c>
      <c r="F24" s="59" t="n">
        <v>538.3</v>
      </c>
      <c r="G24" s="59" t="n">
        <v>72.70999999999999</v>
      </c>
      <c r="H24" s="59" t="n">
        <v>611.01</v>
      </c>
      <c r="I24" s="16" t="n">
        <v>12</v>
      </c>
      <c r="J24" s="16" t="n">
        <v>5</v>
      </c>
      <c r="K24" s="16" t="n">
        <v>7</v>
      </c>
      <c r="L24" s="88" t="n">
        <v>-303.93</v>
      </c>
      <c r="M24" s="89" t="n">
        <v>178.5</v>
      </c>
      <c r="N24" s="61" t="n">
        <v>178.4596062854139</v>
      </c>
      <c r="O24" s="61" t="n">
        <v>157.2229686313453</v>
      </c>
      <c r="P24" s="62" t="n">
        <v>34.12</v>
      </c>
    </row>
    <row r="25" ht="16" customHeight="1">
      <c r="A25" s="63" t="inlineStr">
        <is>
          <t>成人頂級魚油</t>
        </is>
      </c>
      <c r="B25" s="64" t="inlineStr">
        <is>
          <t>B0DYHLCY51</t>
        </is>
      </c>
      <c r="C25" s="65" t="inlineStr">
        <is>
          <t>W4</t>
        </is>
      </c>
      <c r="D25" s="64" t="inlineStr">
        <is>
          <t>Feb 22–28</t>
        </is>
      </c>
      <c r="E25" s="66" t="n">
        <v>3032.75</v>
      </c>
      <c r="F25" s="66" t="n">
        <v>623.59</v>
      </c>
      <c r="G25" s="66" t="n">
        <v>78.63</v>
      </c>
      <c r="H25" s="66" t="n">
        <v>702.22</v>
      </c>
      <c r="I25" s="18" t="n">
        <v>75</v>
      </c>
      <c r="J25" s="18" t="n">
        <v>60</v>
      </c>
      <c r="K25" s="18" t="n">
        <v>16</v>
      </c>
      <c r="L25" s="66" t="n">
        <v>868.26</v>
      </c>
      <c r="M25" s="67" t="n">
        <v>23.2</v>
      </c>
      <c r="N25" s="68" t="n">
        <v>23.15456269062732</v>
      </c>
      <c r="O25" s="68" t="n">
        <v>20.56186629296843</v>
      </c>
      <c r="P25" s="69" t="n">
        <v>302.19</v>
      </c>
    </row>
    <row r="26" ht="16" customHeight="1">
      <c r="A26" s="70" t="inlineStr">
        <is>
          <t>成人頂級魚油</t>
        </is>
      </c>
      <c r="B26" s="71" t="inlineStr">
        <is>
          <t>B0DYHLCY51</t>
        </is>
      </c>
      <c r="C26" s="72" t="inlineStr">
        <is>
          <t>W5</t>
        </is>
      </c>
      <c r="D26" s="71" t="inlineStr">
        <is>
          <t>Mar 1–7</t>
        </is>
      </c>
      <c r="E26" s="73" t="n">
        <v>590.83</v>
      </c>
      <c r="F26" s="73" t="n">
        <v>23.16</v>
      </c>
      <c r="G26" s="73" t="n">
        <v>13.39</v>
      </c>
      <c r="H26" s="73" t="n">
        <v>36.55</v>
      </c>
      <c r="I26" s="20" t="n">
        <v>17</v>
      </c>
      <c r="J26" s="20" t="n">
        <v>17</v>
      </c>
      <c r="K26" s="20" t="n">
        <v>0</v>
      </c>
      <c r="L26" s="73" t="n">
        <v>226.17</v>
      </c>
      <c r="M26" s="74" t="n">
        <v>6.2</v>
      </c>
      <c r="N26" s="75" t="n">
        <v>6.18621261615016</v>
      </c>
      <c r="O26" s="75" t="n">
        <v>3.919909280165191</v>
      </c>
      <c r="P26" s="76" t="n">
        <v>58.87</v>
      </c>
    </row>
    <row r="27" ht="18" customHeight="1">
      <c r="A27" s="77" t="inlineStr">
        <is>
          <t xml:space="preserve">  ↳ 成人頂級魚油 Total</t>
        </is>
      </c>
      <c r="B27" s="78" t="inlineStr">
        <is>
          <t>B0DYHLCY51</t>
        </is>
      </c>
      <c r="C27" s="79" t="inlineStr">
        <is>
          <t>W1–W5</t>
        </is>
      </c>
      <c r="D27" s="78" t="inlineStr">
        <is>
          <t>Total</t>
        </is>
      </c>
      <c r="E27" s="80">
        <f>SUM(E22:E26)</f>
        <v/>
      </c>
      <c r="F27" s="80">
        <f>SUM(F22:F26)</f>
        <v/>
      </c>
      <c r="G27" s="80">
        <f>SUM(G22:G26)</f>
        <v/>
      </c>
      <c r="H27" s="80">
        <f>SUM(H22:H26)</f>
        <v/>
      </c>
      <c r="I27" s="81">
        <f>SUM(I22:I26)</f>
        <v/>
      </c>
      <c r="J27" s="81">
        <f>SUM(J22:J26)</f>
        <v/>
      </c>
      <c r="K27" s="81">
        <f>SUM(K22:K26)</f>
        <v/>
      </c>
      <c r="L27" s="80">
        <f>SUM(L22:L26)</f>
        <v/>
      </c>
      <c r="M27" s="82">
        <f>IF(E27&gt;0,H27/E27*100,"—")</f>
        <v/>
      </c>
      <c r="P27" s="83" t="n">
        <v>521.33</v>
      </c>
    </row>
    <row r="28" ht="16" customHeight="1">
      <c r="A28" s="42" t="inlineStr">
        <is>
          <t>苦瓜酵素</t>
        </is>
      </c>
      <c r="B28" s="43" t="inlineStr">
        <is>
          <t>B0FF4WBTWX</t>
        </is>
      </c>
      <c r="C28" s="44" t="inlineStr">
        <is>
          <t>W1</t>
        </is>
      </c>
      <c r="D28" s="43" t="inlineStr">
        <is>
          <t>Feb 1–7</t>
        </is>
      </c>
      <c r="E28" s="45" t="n">
        <v>793.25</v>
      </c>
      <c r="F28" s="45" t="n">
        <v>476.97</v>
      </c>
      <c r="G28" s="45" t="n">
        <v>120.23</v>
      </c>
      <c r="H28" s="45" t="n">
        <v>597.2</v>
      </c>
      <c r="I28" s="12" t="n">
        <v>25</v>
      </c>
      <c r="J28" s="12" t="n">
        <v>11</v>
      </c>
      <c r="K28" s="12" t="n">
        <v>16</v>
      </c>
      <c r="L28" s="45" t="n">
        <v>72.06999999999999</v>
      </c>
      <c r="M28" s="94" t="n">
        <v>75.3</v>
      </c>
      <c r="N28" s="47" t="n">
        <v>75.285219035613</v>
      </c>
      <c r="O28" s="47" t="n">
        <v>60.12858493539238</v>
      </c>
      <c r="P28" s="48" t="n">
        <v>93.81</v>
      </c>
    </row>
    <row r="29" ht="16" customHeight="1">
      <c r="A29" s="49" t="inlineStr">
        <is>
          <t>苦瓜酵素</t>
        </is>
      </c>
      <c r="B29" s="50" t="inlineStr">
        <is>
          <t>B0FF4WBTWX</t>
        </is>
      </c>
      <c r="C29" s="51" t="inlineStr">
        <is>
          <t>W2</t>
        </is>
      </c>
      <c r="D29" s="50" t="inlineStr">
        <is>
          <t>Feb 8–14</t>
        </is>
      </c>
      <c r="E29" s="52" t="n">
        <v>792.26</v>
      </c>
      <c r="F29" s="52" t="n">
        <v>649.25</v>
      </c>
      <c r="G29" s="52" t="n">
        <v>90.56</v>
      </c>
      <c r="H29" s="52" t="n">
        <v>739.8099999999999</v>
      </c>
      <c r="I29" s="14" t="n">
        <v>24</v>
      </c>
      <c r="J29" s="14" t="n">
        <v>11</v>
      </c>
      <c r="K29" s="14" t="n">
        <v>13</v>
      </c>
      <c r="L29" s="86" t="n">
        <v>-147.42</v>
      </c>
      <c r="M29" s="87" t="n">
        <v>93.40000000000001</v>
      </c>
      <c r="N29" s="54" t="n">
        <v>93.37969858379824</v>
      </c>
      <c r="O29" s="54" t="n">
        <v>81.94910761618661</v>
      </c>
      <c r="P29" s="55" t="n">
        <v>93.69</v>
      </c>
    </row>
    <row r="30" ht="16" customHeight="1">
      <c r="A30" s="56" t="inlineStr">
        <is>
          <t>苦瓜酵素</t>
        </is>
      </c>
      <c r="B30" s="57" t="inlineStr">
        <is>
          <t>B0FF4WBTWX</t>
        </is>
      </c>
      <c r="C30" s="58" t="inlineStr">
        <is>
          <t>W3</t>
        </is>
      </c>
      <c r="D30" s="57" t="inlineStr">
        <is>
          <t>Feb 15–21</t>
        </is>
      </c>
      <c r="E30" s="59" t="n">
        <v>1356.68</v>
      </c>
      <c r="F30" s="59" t="n">
        <v>1034.08</v>
      </c>
      <c r="G30" s="59" t="n">
        <v>80.72</v>
      </c>
      <c r="H30" s="59" t="n">
        <v>1114.8</v>
      </c>
      <c r="I30" s="16" t="n">
        <v>32</v>
      </c>
      <c r="J30" s="16" t="n">
        <v>21</v>
      </c>
      <c r="K30" s="16" t="n">
        <v>14</v>
      </c>
      <c r="L30" s="88" t="n">
        <v>-126.08</v>
      </c>
      <c r="M30" s="96" t="n">
        <v>82.2</v>
      </c>
      <c r="N30" s="61" t="n">
        <v>82.17118259280006</v>
      </c>
      <c r="O30" s="61" t="n">
        <v>76.22136391779932</v>
      </c>
      <c r="P30" s="62" t="n">
        <v>160.44</v>
      </c>
    </row>
    <row r="31" ht="16" customHeight="1">
      <c r="A31" s="63" t="inlineStr">
        <is>
          <t>苦瓜酵素</t>
        </is>
      </c>
      <c r="B31" s="64" t="inlineStr">
        <is>
          <t>B0FF4WBTWX</t>
        </is>
      </c>
      <c r="C31" s="65" t="inlineStr">
        <is>
          <t>W4</t>
        </is>
      </c>
      <c r="D31" s="64" t="inlineStr">
        <is>
          <t>Feb 22–28</t>
        </is>
      </c>
      <c r="E31" s="66" t="n">
        <v>1178.11</v>
      </c>
      <c r="F31" s="66" t="n">
        <v>574.4299999999999</v>
      </c>
      <c r="G31" s="66" t="n">
        <v>87.3</v>
      </c>
      <c r="H31" s="66" t="n">
        <v>661.73</v>
      </c>
      <c r="I31" s="18" t="n">
        <v>39</v>
      </c>
      <c r="J31" s="18" t="n">
        <v>27</v>
      </c>
      <c r="K31" s="18" t="n">
        <v>13</v>
      </c>
      <c r="L31" s="66" t="n">
        <v>193.63</v>
      </c>
      <c r="M31" s="67" t="n">
        <v>56.2</v>
      </c>
      <c r="N31" s="68" t="n">
        <v>56.16877880673282</v>
      </c>
      <c r="O31" s="68" t="n">
        <v>48.75860488409401</v>
      </c>
      <c r="P31" s="69" t="n">
        <v>139.33</v>
      </c>
    </row>
    <row r="32" ht="16" customHeight="1">
      <c r="A32" s="70" t="inlineStr">
        <is>
          <t>苦瓜酵素</t>
        </is>
      </c>
      <c r="B32" s="71" t="inlineStr">
        <is>
          <t>B0FF4WBTWX</t>
        </is>
      </c>
      <c r="C32" s="72" t="inlineStr">
        <is>
          <t>W5</t>
        </is>
      </c>
      <c r="D32" s="71" t="inlineStr">
        <is>
          <t>Mar 1–7</t>
        </is>
      </c>
      <c r="E32" s="73" t="n">
        <v>520.33</v>
      </c>
      <c r="F32" s="73" t="n">
        <v>366.6</v>
      </c>
      <c r="G32" s="73" t="n">
        <v>0</v>
      </c>
      <c r="H32" s="73" t="n">
        <v>366.6</v>
      </c>
      <c r="I32" s="20" t="n">
        <v>17</v>
      </c>
      <c r="J32" s="20" t="n">
        <v>13</v>
      </c>
      <c r="K32" s="20" t="n">
        <v>4</v>
      </c>
      <c r="L32" s="73" t="n">
        <v>11.36</v>
      </c>
      <c r="M32" s="97" t="n">
        <v>70.5</v>
      </c>
      <c r="N32" s="75" t="n">
        <v>70.45528799031385</v>
      </c>
      <c r="O32" s="75" t="n">
        <v>70.45528799031385</v>
      </c>
      <c r="P32" s="76" t="n">
        <v>61.54</v>
      </c>
    </row>
    <row r="33" ht="18" customHeight="1">
      <c r="A33" s="77" t="inlineStr">
        <is>
          <t xml:space="preserve">  ↳ 苦瓜酵素 Total</t>
        </is>
      </c>
      <c r="B33" s="78" t="inlineStr">
        <is>
          <t>B0FF4WBTWX</t>
        </is>
      </c>
      <c r="C33" s="79" t="inlineStr">
        <is>
          <t>W1–W5</t>
        </is>
      </c>
      <c r="D33" s="78" t="inlineStr">
        <is>
          <t>Total</t>
        </is>
      </c>
      <c r="E33" s="80">
        <f>SUM(E28:E32)</f>
        <v/>
      </c>
      <c r="F33" s="80">
        <f>SUM(F28:F32)</f>
        <v/>
      </c>
      <c r="G33" s="80">
        <f>SUM(G28:G32)</f>
        <v/>
      </c>
      <c r="H33" s="80">
        <f>SUM(H28:H32)</f>
        <v/>
      </c>
      <c r="I33" s="81">
        <f>SUM(I28:I32)</f>
        <v/>
      </c>
      <c r="J33" s="81">
        <f>SUM(J28:J32)</f>
        <v/>
      </c>
      <c r="K33" s="81">
        <f>SUM(K28:K32)</f>
        <v/>
      </c>
      <c r="L33" s="80">
        <f>SUM(L28:L32)</f>
        <v/>
      </c>
      <c r="M33" s="82">
        <f>IF(E33&gt;0,H33/E33*100,"—")</f>
        <v/>
      </c>
      <c r="P33" s="83" t="n">
        <v>548.8099999999999</v>
      </c>
    </row>
    <row r="34" ht="16" customHeight="1">
      <c r="A34" s="42" t="inlineStr">
        <is>
          <t>葉黃素</t>
        </is>
      </c>
      <c r="B34" s="43" t="inlineStr">
        <is>
          <t>B0FKBLZB11</t>
        </is>
      </c>
      <c r="C34" s="44" t="inlineStr">
        <is>
          <t>W1</t>
        </is>
      </c>
      <c r="D34" s="43" t="inlineStr">
        <is>
          <t>Feb 1–7</t>
        </is>
      </c>
      <c r="E34" s="45" t="n">
        <v>140.05</v>
      </c>
      <c r="F34" s="45" t="n">
        <v>95.34999999999999</v>
      </c>
      <c r="G34" s="45" t="n">
        <v>45.59</v>
      </c>
      <c r="H34" s="45" t="n">
        <v>140.94</v>
      </c>
      <c r="I34" s="12" t="n">
        <v>5</v>
      </c>
      <c r="J34" s="12" t="n">
        <v>3</v>
      </c>
      <c r="K34" s="12" t="n">
        <v>3</v>
      </c>
      <c r="L34" s="45" t="n">
        <v>2.78</v>
      </c>
      <c r="M34" s="85" t="n">
        <v>100.6</v>
      </c>
      <c r="N34" s="47" t="n">
        <v>100.635487325955</v>
      </c>
      <c r="O34" s="47" t="n">
        <v>68.08282756158513</v>
      </c>
      <c r="P34" s="48" t="n">
        <v>30.09</v>
      </c>
    </row>
    <row r="35" ht="16" customHeight="1">
      <c r="A35" s="49" t="inlineStr">
        <is>
          <t>葉黃素</t>
        </is>
      </c>
      <c r="B35" s="50" t="inlineStr">
        <is>
          <t>B0FKBLZB11</t>
        </is>
      </c>
      <c r="C35" s="51" t="inlineStr">
        <is>
          <t>W2</t>
        </is>
      </c>
      <c r="D35" s="50" t="inlineStr">
        <is>
          <t>Feb 8–14</t>
        </is>
      </c>
      <c r="E35" s="52" t="n">
        <v>160.15</v>
      </c>
      <c r="F35" s="52" t="n">
        <v>85.87</v>
      </c>
      <c r="G35" s="52" t="n">
        <v>34.34</v>
      </c>
      <c r="H35" s="52" t="n">
        <v>120.21</v>
      </c>
      <c r="I35" s="14" t="n">
        <v>5</v>
      </c>
      <c r="J35" s="14" t="n">
        <v>5</v>
      </c>
      <c r="K35" s="14" t="n">
        <v>3</v>
      </c>
      <c r="L35" s="52" t="n">
        <v>21.41</v>
      </c>
      <c r="M35" s="98" t="n">
        <v>75.09999999999999</v>
      </c>
      <c r="N35" s="54" t="n">
        <v>75.06088042460193</v>
      </c>
      <c r="O35" s="54" t="n">
        <v>53.61848267249454</v>
      </c>
      <c r="P35" s="55" t="n">
        <v>34.41</v>
      </c>
    </row>
    <row r="36" ht="16" customHeight="1">
      <c r="A36" s="56" t="inlineStr">
        <is>
          <t>葉黃素</t>
        </is>
      </c>
      <c r="B36" s="57" t="inlineStr">
        <is>
          <t>B0FKBLZB11</t>
        </is>
      </c>
      <c r="C36" s="58" t="inlineStr">
        <is>
          <t>W3</t>
        </is>
      </c>
      <c r="D36" s="57" t="inlineStr">
        <is>
          <t>Feb 15–21</t>
        </is>
      </c>
      <c r="E36" s="59" t="n">
        <v>23.99</v>
      </c>
      <c r="F36" s="59" t="n">
        <v>126</v>
      </c>
      <c r="G36" s="59" t="n">
        <v>30.61</v>
      </c>
      <c r="H36" s="59" t="n">
        <v>156.61</v>
      </c>
      <c r="I36" s="16" t="n">
        <v>1</v>
      </c>
      <c r="J36" s="16" t="n">
        <v>1</v>
      </c>
      <c r="K36" s="16" t="n">
        <v>0</v>
      </c>
      <c r="L36" s="88" t="n">
        <v>-109.34</v>
      </c>
      <c r="M36" s="89" t="n">
        <v>652.8</v>
      </c>
      <c r="N36" s="61" t="n">
        <v>652.8136723634849</v>
      </c>
      <c r="O36" s="61" t="n">
        <v>525.2188411838266</v>
      </c>
      <c r="P36" s="62" t="n">
        <v>5.15</v>
      </c>
    </row>
    <row r="37" ht="16" customHeight="1">
      <c r="A37" s="63" t="inlineStr">
        <is>
          <t>葉黃素</t>
        </is>
      </c>
      <c r="B37" s="64" t="inlineStr">
        <is>
          <t>B0FKBLZB11</t>
        </is>
      </c>
      <c r="C37" s="65" t="inlineStr">
        <is>
          <t>W4</t>
        </is>
      </c>
      <c r="D37" s="64" t="inlineStr">
        <is>
          <t>Feb 22–28</t>
        </is>
      </c>
      <c r="E37" s="66" t="n">
        <v>276.21</v>
      </c>
      <c r="F37" s="66" t="n">
        <v>252.11</v>
      </c>
      <c r="G37" s="66" t="n">
        <v>33.11</v>
      </c>
      <c r="H37" s="66" t="n">
        <v>285.22</v>
      </c>
      <c r="I37" s="18" t="n">
        <v>9</v>
      </c>
      <c r="J37" s="18" t="n">
        <v>9</v>
      </c>
      <c r="K37" s="18" t="n">
        <v>1</v>
      </c>
      <c r="L37" s="90" t="n">
        <v>-131.48</v>
      </c>
      <c r="M37" s="91" t="n">
        <v>103.3</v>
      </c>
      <c r="N37" s="68" t="n">
        <v>103.2620107888925</v>
      </c>
      <c r="O37" s="68" t="n">
        <v>91.27475471561495</v>
      </c>
      <c r="P37" s="69" t="n">
        <v>59.35</v>
      </c>
    </row>
    <row r="38" ht="16" customHeight="1">
      <c r="A38" s="70" t="inlineStr">
        <is>
          <t>葉黃素</t>
        </is>
      </c>
      <c r="B38" s="71" t="inlineStr">
        <is>
          <t>B0FKBLZB11</t>
        </is>
      </c>
      <c r="C38" s="72" t="inlineStr">
        <is>
          <t>W5</t>
        </is>
      </c>
      <c r="D38" s="71" t="inlineStr">
        <is>
          <t>Mar 1–7</t>
        </is>
      </c>
      <c r="E38" s="73" t="n">
        <v>368.28</v>
      </c>
      <c r="F38" s="73" t="n">
        <v>271.64</v>
      </c>
      <c r="G38" s="73" t="n">
        <v>0</v>
      </c>
      <c r="H38" s="73" t="n">
        <v>271.64</v>
      </c>
      <c r="I38" s="20" t="n">
        <v>12</v>
      </c>
      <c r="J38" s="20" t="n">
        <v>9</v>
      </c>
      <c r="K38" s="20" t="n">
        <v>3</v>
      </c>
      <c r="L38" s="92" t="n">
        <v>-15.65</v>
      </c>
      <c r="M38" s="97" t="n">
        <v>73.8</v>
      </c>
      <c r="N38" s="75" t="n">
        <v>73.7590963397415</v>
      </c>
      <c r="O38" s="75" t="n">
        <v>73.7590963397415</v>
      </c>
      <c r="P38" s="76" t="n">
        <v>79.13</v>
      </c>
    </row>
    <row r="39" ht="18" customHeight="1">
      <c r="A39" s="77" t="inlineStr">
        <is>
          <t xml:space="preserve">  ↳ 葉黃素 Total</t>
        </is>
      </c>
      <c r="B39" s="78" t="inlineStr">
        <is>
          <t>B0FKBLZB11</t>
        </is>
      </c>
      <c r="C39" s="79" t="inlineStr">
        <is>
          <t>W1–W5</t>
        </is>
      </c>
      <c r="D39" s="78" t="inlineStr">
        <is>
          <t>Total</t>
        </is>
      </c>
      <c r="E39" s="80">
        <f>SUM(E34:E38)</f>
        <v/>
      </c>
      <c r="F39" s="80">
        <f>SUM(F34:F38)</f>
        <v/>
      </c>
      <c r="G39" s="80">
        <f>SUM(G34:G38)</f>
        <v/>
      </c>
      <c r="H39" s="80">
        <f>SUM(H34:H38)</f>
        <v/>
      </c>
      <c r="I39" s="81">
        <f>SUM(I34:I38)</f>
        <v/>
      </c>
      <c r="J39" s="81">
        <f>SUM(J34:J38)</f>
        <v/>
      </c>
      <c r="K39" s="81">
        <f>SUM(K34:K38)</f>
        <v/>
      </c>
      <c r="L39" s="80">
        <f>SUM(L34:L38)</f>
        <v/>
      </c>
      <c r="M39" s="82">
        <f>IF(E39&gt;0,H39/E39*100,"—")</f>
        <v/>
      </c>
      <c r="P39" s="83" t="n">
        <v>208.13</v>
      </c>
    </row>
    <row r="40" ht="16" customHeight="1">
      <c r="A40" s="42" t="inlineStr">
        <is>
          <t>綜合維生素</t>
        </is>
      </c>
      <c r="B40" s="43" t="inlineStr">
        <is>
          <t>B0DY7H26GN</t>
        </is>
      </c>
      <c r="C40" s="44" t="inlineStr">
        <is>
          <t>W1</t>
        </is>
      </c>
      <c r="D40" s="43" t="inlineStr">
        <is>
          <t>Feb 1–7</t>
        </is>
      </c>
      <c r="E40" s="45" t="n">
        <v>86.45</v>
      </c>
      <c r="F40" s="45" t="n">
        <v>56.5</v>
      </c>
      <c r="G40" s="45" t="n">
        <v>0</v>
      </c>
      <c r="H40" s="45" t="n">
        <v>56.5</v>
      </c>
      <c r="I40" s="12" t="n">
        <v>5</v>
      </c>
      <c r="J40" s="12" t="n">
        <v>5</v>
      </c>
      <c r="K40" s="12" t="n">
        <v>0</v>
      </c>
      <c r="L40" s="84" t="n">
        <v>-9.49</v>
      </c>
      <c r="M40" s="46" t="n">
        <v>65.40000000000001</v>
      </c>
      <c r="N40" s="47" t="n">
        <v>65.3556969346443</v>
      </c>
      <c r="O40" s="47" t="n">
        <v>65.3556969346443</v>
      </c>
      <c r="P40" s="48" t="n">
        <v>0</v>
      </c>
    </row>
    <row r="41" ht="16" customHeight="1">
      <c r="A41" s="49" t="inlineStr">
        <is>
          <t>綜合維生素</t>
        </is>
      </c>
      <c r="B41" s="50" t="inlineStr">
        <is>
          <t>B0DY7H26GN</t>
        </is>
      </c>
      <c r="C41" s="51" t="inlineStr">
        <is>
          <t>W2</t>
        </is>
      </c>
      <c r="D41" s="50" t="inlineStr">
        <is>
          <t>Feb 8–14</t>
        </is>
      </c>
      <c r="E41" s="52" t="n">
        <v>86.45</v>
      </c>
      <c r="F41" s="52" t="n">
        <v>31.4</v>
      </c>
      <c r="G41" s="52" t="n">
        <v>0</v>
      </c>
      <c r="H41" s="52" t="n">
        <v>31.4</v>
      </c>
      <c r="I41" s="14" t="n">
        <v>5</v>
      </c>
      <c r="J41" s="14" t="n">
        <v>5</v>
      </c>
      <c r="K41" s="14" t="n">
        <v>0</v>
      </c>
      <c r="L41" s="52" t="n">
        <v>17.71</v>
      </c>
      <c r="M41" s="53" t="n">
        <v>36.3</v>
      </c>
      <c r="N41" s="54" t="n">
        <v>36.32157316367842</v>
      </c>
      <c r="O41" s="54" t="n">
        <v>36.32157316367842</v>
      </c>
      <c r="P41" s="55" t="n">
        <v>0</v>
      </c>
    </row>
    <row r="42" ht="16" customHeight="1">
      <c r="A42" s="56" t="inlineStr">
        <is>
          <t>綜合維生素</t>
        </is>
      </c>
      <c r="B42" s="57" t="inlineStr">
        <is>
          <t>B0DY7H26GN</t>
        </is>
      </c>
      <c r="C42" s="58" t="inlineStr">
        <is>
          <t>W3</t>
        </is>
      </c>
      <c r="D42" s="57" t="inlineStr">
        <is>
          <t>Feb 15–21</t>
        </is>
      </c>
      <c r="E42" s="59" t="n">
        <v>0</v>
      </c>
      <c r="F42" s="59" t="n">
        <v>18.4</v>
      </c>
      <c r="G42" s="59" t="n">
        <v>0</v>
      </c>
      <c r="H42" s="59" t="n">
        <v>18.4</v>
      </c>
      <c r="I42" s="16" t="n">
        <v>0</v>
      </c>
      <c r="J42" s="16" t="n">
        <v>0</v>
      </c>
      <c r="K42" s="16" t="n">
        <v>0</v>
      </c>
      <c r="L42" s="88" t="n">
        <v>-18.4</v>
      </c>
      <c r="M42" s="36" t="n"/>
      <c r="N42" s="36" t="n"/>
      <c r="O42" s="36" t="n"/>
      <c r="P42" s="62" t="n">
        <v>0</v>
      </c>
    </row>
    <row r="43" ht="16" customHeight="1">
      <c r="A43" s="63" t="inlineStr">
        <is>
          <t>綜合維生素</t>
        </is>
      </c>
      <c r="B43" s="64" t="inlineStr">
        <is>
          <t>B0DY7H26GN</t>
        </is>
      </c>
      <c r="C43" s="65" t="inlineStr">
        <is>
          <t>W4</t>
        </is>
      </c>
      <c r="D43" s="64" t="inlineStr">
        <is>
          <t>Feb 22–28</t>
        </is>
      </c>
      <c r="E43" s="66" t="n">
        <v>52.97</v>
      </c>
      <c r="F43" s="66" t="n">
        <v>8.039999999999999</v>
      </c>
      <c r="G43" s="66" t="n">
        <v>0</v>
      </c>
      <c r="H43" s="66" t="n">
        <v>8.039999999999999</v>
      </c>
      <c r="I43" s="18" t="n">
        <v>3</v>
      </c>
      <c r="J43" s="18" t="n">
        <v>3</v>
      </c>
      <c r="K43" s="18" t="n">
        <v>0</v>
      </c>
      <c r="L43" s="66" t="n">
        <v>25.36</v>
      </c>
      <c r="M43" s="67" t="n">
        <v>15.2</v>
      </c>
      <c r="N43" s="68" t="n">
        <v>15.1784028695488</v>
      </c>
      <c r="O43" s="68" t="n">
        <v>15.1784028695488</v>
      </c>
      <c r="P43" s="69" t="n">
        <v>0</v>
      </c>
    </row>
    <row r="44" ht="16" customHeight="1">
      <c r="A44" s="70" t="inlineStr">
        <is>
          <t>綜合維生素</t>
        </is>
      </c>
      <c r="B44" s="71" t="inlineStr">
        <is>
          <t>B0DY7H26GN</t>
        </is>
      </c>
      <c r="C44" s="72" t="inlineStr">
        <is>
          <t>W5</t>
        </is>
      </c>
      <c r="D44" s="71" t="inlineStr">
        <is>
          <t>Mar 1–7</t>
        </is>
      </c>
      <c r="E44" s="73" t="n">
        <v>58.47</v>
      </c>
      <c r="F44" s="73" t="n">
        <v>61.9</v>
      </c>
      <c r="G44" s="73" t="n">
        <v>0</v>
      </c>
      <c r="H44" s="73" t="n">
        <v>61.9</v>
      </c>
      <c r="I44" s="20" t="n">
        <v>3</v>
      </c>
      <c r="J44" s="20" t="n">
        <v>3</v>
      </c>
      <c r="K44" s="20" t="n">
        <v>0</v>
      </c>
      <c r="L44" s="92" t="n">
        <v>-38.62</v>
      </c>
      <c r="M44" s="93" t="n">
        <v>105.9</v>
      </c>
      <c r="N44" s="75" t="n">
        <v>105.8662561997606</v>
      </c>
      <c r="O44" s="75" t="n">
        <v>105.8662561997606</v>
      </c>
      <c r="P44" s="76" t="n">
        <v>0</v>
      </c>
    </row>
    <row r="45" ht="18" customHeight="1">
      <c r="A45" s="77" t="inlineStr">
        <is>
          <t xml:space="preserve">  ↳ 綜合維生素 Total</t>
        </is>
      </c>
      <c r="B45" s="78" t="inlineStr">
        <is>
          <t>B0DY7H26GN</t>
        </is>
      </c>
      <c r="C45" s="79" t="inlineStr">
        <is>
          <t>W1–W5</t>
        </is>
      </c>
      <c r="D45" s="78" t="inlineStr">
        <is>
          <t>Total</t>
        </is>
      </c>
      <c r="E45" s="80">
        <f>SUM(E40:E44)</f>
        <v/>
      </c>
      <c r="F45" s="80">
        <f>SUM(F40:F44)</f>
        <v/>
      </c>
      <c r="G45" s="80">
        <f>SUM(G40:G44)</f>
        <v/>
      </c>
      <c r="H45" s="80">
        <f>SUM(H40:H44)</f>
        <v/>
      </c>
      <c r="I45" s="81">
        <f>SUM(I40:I44)</f>
        <v/>
      </c>
      <c r="J45" s="81">
        <f>SUM(J40:J44)</f>
        <v/>
      </c>
      <c r="K45" s="81">
        <f>SUM(K40:K44)</f>
        <v/>
      </c>
      <c r="L45" s="80">
        <f>SUM(L40:L44)</f>
        <v/>
      </c>
      <c r="M45" s="82">
        <f>IF(E45&gt;0,H45/E45*100,"—")</f>
        <v/>
      </c>
      <c r="P45" s="83" t="n">
        <v>0</v>
      </c>
    </row>
  </sheetData>
  <mergeCells count="1">
    <mergeCell ref="A1:P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7c3aed"/>
    <outlinePr summaryBelow="1" summaryRight="1"/>
    <pageSetUpPr/>
  </sheetPr>
  <dimension ref="A1:M108"/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4" customWidth="1" min="2" max="2"/>
    <col width="26" customWidth="1" min="3" max="3"/>
    <col width="6" customWidth="1" min="4" max="4"/>
    <col width="11" customWidth="1" min="5" max="5"/>
    <col width="9" customWidth="1" min="6" max="6"/>
    <col width="7" customWidth="1" min="7" max="7"/>
    <col width="8" customWidth="1" min="8" max="8"/>
    <col width="7" customWidth="1" min="9" max="9"/>
    <col width="8" customWidth="1" min="10" max="10"/>
    <col width="11" customWidth="1" min="11" max="11"/>
    <col width="10" customWidth="1" min="12" max="12"/>
    <col width="8" customWidth="1" min="13" max="13"/>
  </cols>
  <sheetData>
    <row r="1" ht="24" customHeight="1">
      <c r="A1" s="40" t="inlineStr">
        <is>
          <t>Child ASIN Detail — Weekly Sales &amp; Spend Breakdown</t>
        </is>
      </c>
    </row>
    <row r="2" ht="4" customHeight="1"/>
    <row r="3" ht="20" customHeight="1">
      <c r="A3" s="41" t="inlineStr">
        <is>
          <t>Parent Product</t>
        </is>
      </c>
      <c r="B3" s="41" t="inlineStr">
        <is>
          <t>Child ASIN</t>
        </is>
      </c>
      <c r="C3" s="41" t="inlineStr">
        <is>
          <t>SKU/Name</t>
        </is>
      </c>
      <c r="D3" s="41" t="inlineStr">
        <is>
          <t>Week</t>
        </is>
      </c>
      <c r="E3" s="41" t="inlineStr">
        <is>
          <t>Sales ($)</t>
        </is>
      </c>
      <c r="F3" s="41" t="inlineStr">
        <is>
          <t>Spend ($)</t>
        </is>
      </c>
      <c r="G3" s="41" t="inlineStr">
        <is>
          <t>Units</t>
        </is>
      </c>
      <c r="H3" s="41" t="inlineStr">
        <is>
          <t>Organic</t>
        </is>
      </c>
      <c r="I3" s="41" t="inlineStr">
        <is>
          <t>PPC</t>
        </is>
      </c>
      <c r="J3" s="41" t="inlineStr">
        <is>
          <t>Org %</t>
        </is>
      </c>
      <c r="K3" s="41" t="inlineStr">
        <is>
          <t>ACOS (approx)</t>
        </is>
      </c>
      <c r="L3" s="41" t="inlineStr">
        <is>
          <t>5W Sales</t>
        </is>
      </c>
      <c r="M3" s="41" t="inlineStr">
        <is>
          <t>5W Units</t>
        </is>
      </c>
    </row>
    <row r="4" ht="16" customHeight="1">
      <c r="A4" s="99" t="inlineStr">
        <is>
          <t>納豆激酶</t>
        </is>
      </c>
      <c r="B4" s="43" t="inlineStr">
        <is>
          <t>B0DTYCNVQV</t>
        </is>
      </c>
      <c r="C4" s="42" t="inlineStr">
        <is>
          <t>納豆激酶 · 60粒</t>
        </is>
      </c>
      <c r="D4" s="44" t="inlineStr">
        <is>
          <t>W1</t>
        </is>
      </c>
      <c r="E4" s="45" t="n">
        <v>1315.53</v>
      </c>
      <c r="F4" s="45" t="n">
        <v>142.24</v>
      </c>
      <c r="G4" s="12" t="n">
        <v>47</v>
      </c>
      <c r="H4" s="12" t="n">
        <v>42</v>
      </c>
      <c r="I4" s="12" t="n">
        <v>5</v>
      </c>
      <c r="J4" s="100" t="n">
        <v>0.8936170212765957</v>
      </c>
      <c r="K4" s="47" t="n">
        <v>10.8123721997978</v>
      </c>
      <c r="L4" s="101" t="n">
        <v>6321.54</v>
      </c>
      <c r="M4" s="101" t="n">
        <v>226</v>
      </c>
    </row>
    <row r="5" ht="16" customHeight="1">
      <c r="A5" s="102" t="inlineStr">
        <is>
          <t>納豆激酶</t>
        </is>
      </c>
      <c r="B5" s="50" t="inlineStr">
        <is>
          <t>B0DTYCNVQV</t>
        </is>
      </c>
      <c r="C5" s="49" t="inlineStr">
        <is>
          <t>納豆激酶 · 60粒</t>
        </is>
      </c>
      <c r="D5" s="51" t="inlineStr">
        <is>
          <t>W2</t>
        </is>
      </c>
      <c r="E5" s="52" t="n">
        <v>1175.58</v>
      </c>
      <c r="F5" s="52" t="n">
        <v>104.11</v>
      </c>
      <c r="G5" s="14" t="n">
        <v>42</v>
      </c>
      <c r="H5" s="14" t="n">
        <v>39</v>
      </c>
      <c r="I5" s="14" t="n">
        <v>3</v>
      </c>
      <c r="J5" s="103" t="n">
        <v>0.9285714285714286</v>
      </c>
      <c r="K5" s="54" t="n">
        <v>8.856054032902907</v>
      </c>
      <c r="L5" s="104" t="n">
        <v>6321.54</v>
      </c>
      <c r="M5" s="104" t="n">
        <v>226</v>
      </c>
    </row>
    <row r="6" ht="16" customHeight="1">
      <c r="A6" s="105" t="inlineStr">
        <is>
          <t>納豆激酶</t>
        </is>
      </c>
      <c r="B6" s="57" t="inlineStr">
        <is>
          <t>B0DTYCNVQV</t>
        </is>
      </c>
      <c r="C6" s="56" t="inlineStr">
        <is>
          <t>納豆激酶 · 60粒</t>
        </is>
      </c>
      <c r="D6" s="58" t="inlineStr">
        <is>
          <t>W3</t>
        </is>
      </c>
      <c r="E6" s="59" t="n">
        <v>895.6799999999999</v>
      </c>
      <c r="F6" s="59" t="n">
        <v>69.04000000000001</v>
      </c>
      <c r="G6" s="16" t="n">
        <v>32</v>
      </c>
      <c r="H6" s="16" t="n">
        <v>30</v>
      </c>
      <c r="I6" s="16" t="n">
        <v>2</v>
      </c>
      <c r="J6" s="106" t="n">
        <v>0.9375</v>
      </c>
      <c r="K6" s="61" t="n">
        <v>7.708110039299751</v>
      </c>
      <c r="L6" s="107" t="n">
        <v>6321.54</v>
      </c>
      <c r="M6" s="107" t="n">
        <v>226</v>
      </c>
    </row>
    <row r="7" ht="16" customHeight="1">
      <c r="A7" s="108" t="inlineStr">
        <is>
          <t>納豆激酶</t>
        </is>
      </c>
      <c r="B7" s="64" t="inlineStr">
        <is>
          <t>B0DTYCNVQV</t>
        </is>
      </c>
      <c r="C7" s="63" t="inlineStr">
        <is>
          <t>納豆激酶 · 60粒</t>
        </is>
      </c>
      <c r="D7" s="65" t="inlineStr">
        <is>
          <t>W4</t>
        </is>
      </c>
      <c r="E7" s="66" t="n">
        <v>894.28</v>
      </c>
      <c r="F7" s="66" t="n">
        <v>112.21</v>
      </c>
      <c r="G7" s="18" t="n">
        <v>32</v>
      </c>
      <c r="H7" s="18" t="n">
        <v>26</v>
      </c>
      <c r="I7" s="18" t="n">
        <v>6</v>
      </c>
      <c r="J7" s="109" t="n">
        <v>0.8125</v>
      </c>
      <c r="K7" s="68" t="n">
        <v>12.54752426533077</v>
      </c>
      <c r="L7" s="110" t="n">
        <v>6321.54</v>
      </c>
      <c r="M7" s="110" t="n">
        <v>226</v>
      </c>
    </row>
    <row r="8" ht="16" customHeight="1">
      <c r="A8" s="111" t="inlineStr">
        <is>
          <t>納豆激酶</t>
        </is>
      </c>
      <c r="B8" s="71" t="inlineStr">
        <is>
          <t>B0DTYCNVQV</t>
        </is>
      </c>
      <c r="C8" s="70" t="inlineStr">
        <is>
          <t>納豆激酶 · 60粒</t>
        </is>
      </c>
      <c r="D8" s="72" t="inlineStr">
        <is>
          <t>W5</t>
        </is>
      </c>
      <c r="E8" s="73" t="n">
        <v>2040.47</v>
      </c>
      <c r="F8" s="73" t="n">
        <v>276.06</v>
      </c>
      <c r="G8" s="20" t="n">
        <v>73</v>
      </c>
      <c r="H8" s="20" t="n">
        <v>62</v>
      </c>
      <c r="I8" s="20" t="n">
        <v>11</v>
      </c>
      <c r="J8" s="112" t="n">
        <v>0.8493150684931506</v>
      </c>
      <c r="K8" s="75" t="n">
        <v>13.52923591133415</v>
      </c>
      <c r="L8" s="113" t="n">
        <v>6321.54</v>
      </c>
      <c r="M8" s="113" t="n">
        <v>226</v>
      </c>
    </row>
    <row r="9" ht="16" customHeight="1">
      <c r="A9" s="99" t="inlineStr">
        <is>
          <t>納豆激酶</t>
        </is>
      </c>
      <c r="B9" s="43" t="inlineStr">
        <is>
          <t>B0DTYLYN6B</t>
        </is>
      </c>
      <c r="C9" s="42" t="inlineStr">
        <is>
          <t>納豆激酶 · 60粒×2</t>
        </is>
      </c>
      <c r="D9" s="44" t="inlineStr">
        <is>
          <t>W1</t>
        </is>
      </c>
      <c r="E9" s="45" t="n">
        <v>1061.14</v>
      </c>
      <c r="F9" s="45" t="n">
        <v>40.04</v>
      </c>
      <c r="G9" s="12" t="n">
        <v>20</v>
      </c>
      <c r="H9" s="12" t="n">
        <v>17</v>
      </c>
      <c r="I9" s="12" t="n">
        <v>3</v>
      </c>
      <c r="J9" s="100" t="n">
        <v>0.85</v>
      </c>
      <c r="K9" s="47" t="n">
        <v>3.773300412763631</v>
      </c>
      <c r="L9" s="101" t="n">
        <v>3981.27</v>
      </c>
      <c r="M9" s="101" t="n">
        <v>75</v>
      </c>
    </row>
    <row r="10" ht="16" customHeight="1">
      <c r="A10" s="102" t="inlineStr">
        <is>
          <t>納豆激酶</t>
        </is>
      </c>
      <c r="B10" s="50" t="inlineStr">
        <is>
          <t>B0DTYLYN6B</t>
        </is>
      </c>
      <c r="C10" s="49" t="inlineStr">
        <is>
          <t>納豆激酶 · 60粒×2</t>
        </is>
      </c>
      <c r="D10" s="51" t="inlineStr">
        <is>
          <t>W2</t>
        </is>
      </c>
      <c r="E10" s="52" t="n">
        <v>797.85</v>
      </c>
      <c r="F10" s="52" t="n">
        <v>25.96</v>
      </c>
      <c r="G10" s="14" t="n">
        <v>15</v>
      </c>
      <c r="H10" s="14" t="n">
        <v>13</v>
      </c>
      <c r="I10" s="14" t="n">
        <v>2</v>
      </c>
      <c r="J10" s="103" t="n">
        <v>0.8666666666666667</v>
      </c>
      <c r="K10" s="54" t="n">
        <v>3.253744438177603</v>
      </c>
      <c r="L10" s="104" t="n">
        <v>3981.27</v>
      </c>
      <c r="M10" s="104" t="n">
        <v>75</v>
      </c>
    </row>
    <row r="11" ht="16" customHeight="1">
      <c r="A11" s="105" t="inlineStr">
        <is>
          <t>納豆激酶</t>
        </is>
      </c>
      <c r="B11" s="57" t="inlineStr">
        <is>
          <t>B0DTYLYN6B</t>
        </is>
      </c>
      <c r="C11" s="56" t="inlineStr">
        <is>
          <t>納豆激酶 · 60粒×2</t>
        </is>
      </c>
      <c r="D11" s="58" t="inlineStr">
        <is>
          <t>W3</t>
        </is>
      </c>
      <c r="E11" s="59" t="n">
        <v>635.62</v>
      </c>
      <c r="F11" s="59" t="n">
        <v>26.31</v>
      </c>
      <c r="G11" s="16" t="n">
        <v>12</v>
      </c>
      <c r="H11" s="16" t="n">
        <v>9</v>
      </c>
      <c r="I11" s="16" t="n">
        <v>3</v>
      </c>
      <c r="J11" s="106" t="n">
        <v>0.75</v>
      </c>
      <c r="K11" s="61" t="n">
        <v>4.139265598942765</v>
      </c>
      <c r="L11" s="107" t="n">
        <v>3981.27</v>
      </c>
      <c r="M11" s="107" t="n">
        <v>75</v>
      </c>
    </row>
    <row r="12" ht="16" customHeight="1">
      <c r="A12" s="108" t="inlineStr">
        <is>
          <t>納豆激酶</t>
        </is>
      </c>
      <c r="B12" s="64" t="inlineStr">
        <is>
          <t>B0DTYLYN6B</t>
        </is>
      </c>
      <c r="C12" s="63" t="inlineStr">
        <is>
          <t>納豆激酶 · 60粒×2</t>
        </is>
      </c>
      <c r="D12" s="65" t="inlineStr">
        <is>
          <t>W4</t>
        </is>
      </c>
      <c r="E12" s="66" t="n">
        <v>265.95</v>
      </c>
      <c r="F12" s="66" t="n">
        <v>48.48</v>
      </c>
      <c r="G12" s="18" t="n">
        <v>5</v>
      </c>
      <c r="H12" s="18" t="n">
        <v>4</v>
      </c>
      <c r="I12" s="18" t="n">
        <v>1</v>
      </c>
      <c r="J12" s="109" t="n">
        <v>0.8</v>
      </c>
      <c r="K12" s="68" t="n">
        <v>18.22899041173153</v>
      </c>
      <c r="L12" s="110" t="n">
        <v>3981.27</v>
      </c>
      <c r="M12" s="110" t="n">
        <v>75</v>
      </c>
    </row>
    <row r="13" ht="16" customHeight="1">
      <c r="A13" s="111" t="inlineStr">
        <is>
          <t>納豆激酶</t>
        </is>
      </c>
      <c r="B13" s="71" t="inlineStr">
        <is>
          <t>B0DTYLYN6B</t>
        </is>
      </c>
      <c r="C13" s="70" t="inlineStr">
        <is>
          <t>納豆激酶 · 60粒×2</t>
        </is>
      </c>
      <c r="D13" s="72" t="inlineStr">
        <is>
          <t>W5</t>
        </is>
      </c>
      <c r="E13" s="73" t="n">
        <v>1220.71</v>
      </c>
      <c r="F13" s="73" t="n">
        <v>101</v>
      </c>
      <c r="G13" s="20" t="n">
        <v>23</v>
      </c>
      <c r="H13" s="20" t="n">
        <v>21</v>
      </c>
      <c r="I13" s="20" t="n">
        <v>2</v>
      </c>
      <c r="J13" s="112" t="n">
        <v>0.9130434782608695</v>
      </c>
      <c r="K13" s="75" t="n">
        <v>8.273873401545002</v>
      </c>
      <c r="L13" s="113" t="n">
        <v>3981.27</v>
      </c>
      <c r="M13" s="113" t="n">
        <v>75</v>
      </c>
    </row>
    <row r="14" ht="16" customHeight="1">
      <c r="A14" s="99" t="inlineStr">
        <is>
          <t>兒童魚油軟糖</t>
        </is>
      </c>
      <c r="B14" s="43" t="inlineStr">
        <is>
          <t>B0G7K4CHWG</t>
        </is>
      </c>
      <c r="C14" s="42" t="inlineStr">
        <is>
          <t>兒童魚油軟糖 · 30粒</t>
        </is>
      </c>
      <c r="D14" s="44" t="inlineStr">
        <is>
          <t>W1</t>
        </is>
      </c>
      <c r="E14" s="45" t="n">
        <v>986.4299999999999</v>
      </c>
      <c r="F14" s="45" t="n">
        <v>1147.97</v>
      </c>
      <c r="G14" s="12" t="n">
        <v>57</v>
      </c>
      <c r="H14" s="12" t="n">
        <v>24</v>
      </c>
      <c r="I14" s="12" t="n">
        <v>33</v>
      </c>
      <c r="J14" s="100" t="n">
        <v>0.4210526315789473</v>
      </c>
      <c r="K14" s="47" t="n">
        <v>116.3762253783847</v>
      </c>
      <c r="L14" s="101" t="n">
        <v>5404.05</v>
      </c>
      <c r="M14" s="101" t="n">
        <v>310</v>
      </c>
    </row>
    <row r="15" ht="16" customHeight="1">
      <c r="A15" s="102" t="inlineStr">
        <is>
          <t>兒童魚油軟糖</t>
        </is>
      </c>
      <c r="B15" s="50" t="inlineStr">
        <is>
          <t>B0G7K4CHWG</t>
        </is>
      </c>
      <c r="C15" s="49" t="inlineStr">
        <is>
          <t>兒童魚油軟糖 · 30粒</t>
        </is>
      </c>
      <c r="D15" s="51" t="inlineStr">
        <is>
          <t>W2</t>
        </is>
      </c>
      <c r="E15" s="52" t="n">
        <v>917.49</v>
      </c>
      <c r="F15" s="52" t="n">
        <v>1118.05</v>
      </c>
      <c r="G15" s="14" t="n">
        <v>51</v>
      </c>
      <c r="H15" s="14" t="n">
        <v>20</v>
      </c>
      <c r="I15" s="14" t="n">
        <v>31</v>
      </c>
      <c r="J15" s="103" t="n">
        <v>0.392156862745098</v>
      </c>
      <c r="K15" s="54" t="n">
        <v>121.8596387971531</v>
      </c>
      <c r="L15" s="104" t="n">
        <v>5404.05</v>
      </c>
      <c r="M15" s="104" t="n">
        <v>310</v>
      </c>
    </row>
    <row r="16" ht="16" customHeight="1">
      <c r="A16" s="105" t="inlineStr">
        <is>
          <t>兒童魚油軟糖</t>
        </is>
      </c>
      <c r="B16" s="57" t="inlineStr">
        <is>
          <t>B0G7K4CHWG</t>
        </is>
      </c>
      <c r="C16" s="56" t="inlineStr">
        <is>
          <t>兒童魚油軟糖 · 30粒</t>
        </is>
      </c>
      <c r="D16" s="58" t="inlineStr">
        <is>
          <t>W3</t>
        </is>
      </c>
      <c r="E16" s="59" t="n">
        <v>1025.43</v>
      </c>
      <c r="F16" s="59" t="n">
        <v>1878.72</v>
      </c>
      <c r="G16" s="16" t="n">
        <v>57</v>
      </c>
      <c r="H16" s="16" t="n">
        <v>23</v>
      </c>
      <c r="I16" s="16" t="n">
        <v>34</v>
      </c>
      <c r="J16" s="106" t="n">
        <v>0.4035087719298245</v>
      </c>
      <c r="K16" s="61" t="n">
        <v>183.212896053363</v>
      </c>
      <c r="L16" s="107" t="n">
        <v>5404.05</v>
      </c>
      <c r="M16" s="107" t="n">
        <v>310</v>
      </c>
    </row>
    <row r="17" ht="16" customHeight="1">
      <c r="A17" s="108" t="inlineStr">
        <is>
          <t>兒童魚油軟糖</t>
        </is>
      </c>
      <c r="B17" s="64" t="inlineStr">
        <is>
          <t>B0G7K4CHWG</t>
        </is>
      </c>
      <c r="C17" s="63" t="inlineStr">
        <is>
          <t>兒童魚油軟糖 · 30粒</t>
        </is>
      </c>
      <c r="D17" s="65" t="inlineStr">
        <is>
          <t>W4</t>
        </is>
      </c>
      <c r="E17" s="66" t="n">
        <v>1490.13</v>
      </c>
      <c r="F17" s="66" t="n">
        <v>2488.6</v>
      </c>
      <c r="G17" s="18" t="n">
        <v>87</v>
      </c>
      <c r="H17" s="18" t="n">
        <v>44</v>
      </c>
      <c r="I17" s="18" t="n">
        <v>43</v>
      </c>
      <c r="J17" s="109" t="n">
        <v>0.5057471264367817</v>
      </c>
      <c r="K17" s="68" t="n">
        <v>167.005563273003</v>
      </c>
      <c r="L17" s="110" t="n">
        <v>5404.05</v>
      </c>
      <c r="M17" s="110" t="n">
        <v>310</v>
      </c>
    </row>
    <row r="18" ht="16" customHeight="1">
      <c r="A18" s="111" t="inlineStr">
        <is>
          <t>兒童魚油軟糖</t>
        </is>
      </c>
      <c r="B18" s="71" t="inlineStr">
        <is>
          <t>B0G7K4CHWG</t>
        </is>
      </c>
      <c r="C18" s="70" t="inlineStr">
        <is>
          <t>兒童魚油軟糖 · 30粒</t>
        </is>
      </c>
      <c r="D18" s="72" t="inlineStr">
        <is>
          <t>W5</t>
        </is>
      </c>
      <c r="E18" s="73" t="n">
        <v>984.5700000000001</v>
      </c>
      <c r="F18" s="73" t="n">
        <v>2226.27</v>
      </c>
      <c r="G18" s="20" t="n">
        <v>58</v>
      </c>
      <c r="H18" s="20" t="n">
        <v>30</v>
      </c>
      <c r="I18" s="20" t="n">
        <v>28</v>
      </c>
      <c r="J18" s="112" t="n">
        <v>0.5172413793103449</v>
      </c>
      <c r="K18" s="75" t="n">
        <v>226.1159694079649</v>
      </c>
      <c r="L18" s="113" t="n">
        <v>5404.05</v>
      </c>
      <c r="M18" s="113" t="n">
        <v>310</v>
      </c>
    </row>
    <row r="19" ht="16" customHeight="1">
      <c r="A19" s="99" t="inlineStr">
        <is>
          <t>兒童魚油軟糖</t>
        </is>
      </c>
      <c r="B19" s="43" t="inlineStr">
        <is>
          <t>B0G7K1VC4G</t>
        </is>
      </c>
      <c r="C19" s="42" t="inlineStr">
        <is>
          <t>兒童魚油軟糖 · 30粒×2</t>
        </is>
      </c>
      <c r="D19" s="44" t="inlineStr">
        <is>
          <t>W1</t>
        </is>
      </c>
      <c r="E19" s="45" t="n">
        <v>343.9</v>
      </c>
      <c r="F19" s="45" t="n">
        <v>129.4</v>
      </c>
      <c r="G19" s="12" t="n">
        <v>10</v>
      </c>
      <c r="H19" s="12" t="n">
        <v>6</v>
      </c>
      <c r="I19" s="12" t="n">
        <v>4</v>
      </c>
      <c r="J19" s="100" t="n">
        <v>0.6</v>
      </c>
      <c r="K19" s="47" t="n">
        <v>37.62721721430649</v>
      </c>
      <c r="L19" s="101" t="n">
        <v>2908.12</v>
      </c>
      <c r="M19" s="101" t="n">
        <v>88</v>
      </c>
    </row>
    <row r="20" ht="16" customHeight="1">
      <c r="A20" s="102" t="inlineStr">
        <is>
          <t>兒童魚油軟糖</t>
        </is>
      </c>
      <c r="B20" s="50" t="inlineStr">
        <is>
          <t>B0G7K1VC4G</t>
        </is>
      </c>
      <c r="C20" s="49" t="inlineStr">
        <is>
          <t>兒童魚油軟糖 · 30粒×2</t>
        </is>
      </c>
      <c r="D20" s="51" t="inlineStr">
        <is>
          <t>W2</t>
        </is>
      </c>
      <c r="E20" s="52" t="n">
        <v>244.93</v>
      </c>
      <c r="F20" s="52" t="n">
        <v>80.73</v>
      </c>
      <c r="G20" s="14" t="n">
        <v>7</v>
      </c>
      <c r="H20" s="14" t="n">
        <v>7</v>
      </c>
      <c r="I20" s="14" t="n">
        <v>0</v>
      </c>
      <c r="J20" s="103" t="n">
        <v>1</v>
      </c>
      <c r="K20" s="54" t="n">
        <v>32.96043767607071</v>
      </c>
      <c r="L20" s="104" t="n">
        <v>2908.12</v>
      </c>
      <c r="M20" s="104" t="n">
        <v>88</v>
      </c>
    </row>
    <row r="21" ht="16" customHeight="1">
      <c r="A21" s="105" t="inlineStr">
        <is>
          <t>兒童魚油軟糖</t>
        </is>
      </c>
      <c r="B21" s="57" t="inlineStr">
        <is>
          <t>B0G7K1VC4G</t>
        </is>
      </c>
      <c r="C21" s="56" t="inlineStr">
        <is>
          <t>兒童魚油軟糖 · 30粒×2</t>
        </is>
      </c>
      <c r="D21" s="58" t="inlineStr">
        <is>
          <t>W3</t>
        </is>
      </c>
      <c r="E21" s="59" t="n">
        <v>454.87</v>
      </c>
      <c r="F21" s="59" t="n">
        <v>61.13</v>
      </c>
      <c r="G21" s="16" t="n">
        <v>13</v>
      </c>
      <c r="H21" s="16" t="n">
        <v>11</v>
      </c>
      <c r="I21" s="16" t="n">
        <v>2</v>
      </c>
      <c r="J21" s="106" t="n">
        <v>0.8461538461538461</v>
      </c>
      <c r="K21" s="61" t="n">
        <v>13.43900455075076</v>
      </c>
      <c r="L21" s="107" t="n">
        <v>2908.12</v>
      </c>
      <c r="M21" s="107" t="n">
        <v>88</v>
      </c>
    </row>
    <row r="22" ht="16" customHeight="1">
      <c r="A22" s="108" t="inlineStr">
        <is>
          <t>兒童魚油軟糖</t>
        </is>
      </c>
      <c r="B22" s="64" t="inlineStr">
        <is>
          <t>B0G7K1VC4G</t>
        </is>
      </c>
      <c r="C22" s="63" t="inlineStr">
        <is>
          <t>兒童魚油軟糖 · 30粒×2</t>
        </is>
      </c>
      <c r="D22" s="65" t="inlineStr">
        <is>
          <t>W4</t>
        </is>
      </c>
      <c r="E22" s="66" t="n">
        <v>1192.63</v>
      </c>
      <c r="F22" s="66" t="n">
        <v>79.67</v>
      </c>
      <c r="G22" s="18" t="n">
        <v>37</v>
      </c>
      <c r="H22" s="18" t="n">
        <v>36</v>
      </c>
      <c r="I22" s="18" t="n">
        <v>1</v>
      </c>
      <c r="J22" s="109" t="n">
        <v>0.972972972972973</v>
      </c>
      <c r="K22" s="68" t="n">
        <v>6.680194192666628</v>
      </c>
      <c r="L22" s="110" t="n">
        <v>2908.12</v>
      </c>
      <c r="M22" s="110" t="n">
        <v>88</v>
      </c>
    </row>
    <row r="23" ht="16" customHeight="1">
      <c r="A23" s="111" t="inlineStr">
        <is>
          <t>兒童魚油軟糖</t>
        </is>
      </c>
      <c r="B23" s="71" t="inlineStr">
        <is>
          <t>B0G7K1VC4G</t>
        </is>
      </c>
      <c r="C23" s="70" t="inlineStr">
        <is>
          <t>兒童魚油軟糖 · 30粒×2</t>
        </is>
      </c>
      <c r="D23" s="72" t="inlineStr">
        <is>
          <t>W5</t>
        </is>
      </c>
      <c r="E23" s="73" t="n">
        <v>671.79</v>
      </c>
      <c r="F23" s="73" t="n">
        <v>81.09</v>
      </c>
      <c r="G23" s="20" t="n">
        <v>21</v>
      </c>
      <c r="H23" s="20" t="n">
        <v>17</v>
      </c>
      <c r="I23" s="20" t="n">
        <v>4</v>
      </c>
      <c r="J23" s="112" t="n">
        <v>0.8095238095238095</v>
      </c>
      <c r="K23" s="75" t="n">
        <v>12.07073639083642</v>
      </c>
      <c r="L23" s="113" t="n">
        <v>2908.12</v>
      </c>
      <c r="M23" s="113" t="n">
        <v>88</v>
      </c>
    </row>
    <row r="24" ht="16" customHeight="1">
      <c r="A24" s="99" t="inlineStr">
        <is>
          <t>瑪卡粉</t>
        </is>
      </c>
      <c r="B24" s="43" t="inlineStr">
        <is>
          <t>B09Y8VBQTV</t>
        </is>
      </c>
      <c r="C24" s="42" t="inlineStr">
        <is>
          <t>瑪卡粉 · 22包</t>
        </is>
      </c>
      <c r="D24" s="44" t="inlineStr">
        <is>
          <t>W1</t>
        </is>
      </c>
      <c r="E24" s="45" t="n">
        <v>935.6</v>
      </c>
      <c r="F24" s="45" t="n">
        <v>649.09</v>
      </c>
      <c r="G24" s="12" t="n">
        <v>40</v>
      </c>
      <c r="H24" s="12" t="n">
        <v>19</v>
      </c>
      <c r="I24" s="12" t="n">
        <v>21</v>
      </c>
      <c r="J24" s="100" t="n">
        <v>0.475</v>
      </c>
      <c r="K24" s="47" t="n">
        <v>69.37687045746046</v>
      </c>
      <c r="L24" s="101" t="n">
        <v>7087.17</v>
      </c>
      <c r="M24" s="101" t="n">
        <v>303</v>
      </c>
    </row>
    <row r="25" ht="16" customHeight="1">
      <c r="A25" s="102" t="inlineStr">
        <is>
          <t>瑪卡粉</t>
        </is>
      </c>
      <c r="B25" s="50" t="inlineStr">
        <is>
          <t>B09Y8VBQTV</t>
        </is>
      </c>
      <c r="C25" s="49" t="inlineStr">
        <is>
          <t>瑪卡粉 · 22包</t>
        </is>
      </c>
      <c r="D25" s="51" t="inlineStr">
        <is>
          <t>W2</t>
        </is>
      </c>
      <c r="E25" s="52" t="n">
        <v>1286.45</v>
      </c>
      <c r="F25" s="52" t="n">
        <v>691.77</v>
      </c>
      <c r="G25" s="14" t="n">
        <v>55</v>
      </c>
      <c r="H25" s="14" t="n">
        <v>28</v>
      </c>
      <c r="I25" s="14" t="n">
        <v>27</v>
      </c>
      <c r="J25" s="103" t="n">
        <v>0.509090909090909</v>
      </c>
      <c r="K25" s="54" t="n">
        <v>53.77356290567064</v>
      </c>
      <c r="L25" s="104" t="n">
        <v>7087.17</v>
      </c>
      <c r="M25" s="104" t="n">
        <v>303</v>
      </c>
    </row>
    <row r="26" ht="16" customHeight="1">
      <c r="A26" s="105" t="inlineStr">
        <is>
          <t>瑪卡粉</t>
        </is>
      </c>
      <c r="B26" s="57" t="inlineStr">
        <is>
          <t>B09Y8VBQTV</t>
        </is>
      </c>
      <c r="C26" s="56" t="inlineStr">
        <is>
          <t>瑪卡粉 · 22包</t>
        </is>
      </c>
      <c r="D26" s="58" t="inlineStr">
        <is>
          <t>W3</t>
        </is>
      </c>
      <c r="E26" s="59" t="n">
        <v>1473.57</v>
      </c>
      <c r="F26" s="59" t="n">
        <v>1267.37</v>
      </c>
      <c r="G26" s="16" t="n">
        <v>63</v>
      </c>
      <c r="H26" s="16" t="n">
        <v>28</v>
      </c>
      <c r="I26" s="16" t="n">
        <v>35</v>
      </c>
      <c r="J26" s="106" t="n">
        <v>0.4444444444444444</v>
      </c>
      <c r="K26" s="61" t="n">
        <v>86.00677266773889</v>
      </c>
      <c r="L26" s="107" t="n">
        <v>7087.17</v>
      </c>
      <c r="M26" s="107" t="n">
        <v>303</v>
      </c>
    </row>
    <row r="27" ht="16" customHeight="1">
      <c r="A27" s="108" t="inlineStr">
        <is>
          <t>瑪卡粉</t>
        </is>
      </c>
      <c r="B27" s="64" t="inlineStr">
        <is>
          <t>B09Y8VBQTV</t>
        </is>
      </c>
      <c r="C27" s="63" t="inlineStr">
        <is>
          <t>瑪卡粉 · 22包</t>
        </is>
      </c>
      <c r="D27" s="65" t="inlineStr">
        <is>
          <t>W4</t>
        </is>
      </c>
      <c r="E27" s="66" t="n">
        <v>1707.47</v>
      </c>
      <c r="F27" s="66" t="n">
        <v>1164.88</v>
      </c>
      <c r="G27" s="18" t="n">
        <v>73</v>
      </c>
      <c r="H27" s="18" t="n">
        <v>39</v>
      </c>
      <c r="I27" s="18" t="n">
        <v>34</v>
      </c>
      <c r="J27" s="109" t="n">
        <v>0.5342465753424658</v>
      </c>
      <c r="K27" s="68" t="n">
        <v>68.22257492078924</v>
      </c>
      <c r="L27" s="110" t="n">
        <v>7087.17</v>
      </c>
      <c r="M27" s="110" t="n">
        <v>303</v>
      </c>
    </row>
    <row r="28" ht="16" customHeight="1">
      <c r="A28" s="111" t="inlineStr">
        <is>
          <t>瑪卡粉</t>
        </is>
      </c>
      <c r="B28" s="71" t="inlineStr">
        <is>
          <t>B09Y8VBQTV</t>
        </is>
      </c>
      <c r="C28" s="70" t="inlineStr">
        <is>
          <t>瑪卡粉 · 22包</t>
        </is>
      </c>
      <c r="D28" s="72" t="inlineStr">
        <is>
          <t>W5</t>
        </is>
      </c>
      <c r="E28" s="73" t="n">
        <v>1684.08</v>
      </c>
      <c r="F28" s="73" t="n">
        <v>992.98</v>
      </c>
      <c r="G28" s="20" t="n">
        <v>72</v>
      </c>
      <c r="H28" s="20" t="n">
        <v>45</v>
      </c>
      <c r="I28" s="20" t="n">
        <v>27</v>
      </c>
      <c r="J28" s="112" t="n">
        <v>0.625</v>
      </c>
      <c r="K28" s="75" t="n">
        <v>58.96275711367631</v>
      </c>
      <c r="L28" s="113" t="n">
        <v>7087.17</v>
      </c>
      <c r="M28" s="113" t="n">
        <v>303</v>
      </c>
    </row>
    <row r="29" ht="16" customHeight="1">
      <c r="A29" s="99" t="inlineStr">
        <is>
          <t>成人頂級魚油</t>
        </is>
      </c>
      <c r="B29" s="43" t="inlineStr">
        <is>
          <t>B0DTT8T7X1</t>
        </is>
      </c>
      <c r="C29" s="42" t="inlineStr">
        <is>
          <t>成人頂級魚油 · 60粒×2</t>
        </is>
      </c>
      <c r="D29" s="44" t="inlineStr">
        <is>
          <t>W1</t>
        </is>
      </c>
      <c r="E29" s="45" t="n">
        <v>409.41</v>
      </c>
      <c r="F29" s="45" t="n">
        <v>69.48999999999999</v>
      </c>
      <c r="G29" s="12" t="n">
        <v>9</v>
      </c>
      <c r="H29" s="12" t="n">
        <v>7</v>
      </c>
      <c r="I29" s="12" t="n">
        <v>2</v>
      </c>
      <c r="J29" s="100" t="n">
        <v>0.7777777777777778</v>
      </c>
      <c r="K29" s="47" t="n">
        <v>16.97320534427591</v>
      </c>
      <c r="L29" s="101" t="n">
        <v>3180.84</v>
      </c>
      <c r="M29" s="101" t="n">
        <v>66</v>
      </c>
    </row>
    <row r="30" ht="16" customHeight="1">
      <c r="A30" s="102" t="inlineStr">
        <is>
          <t>成人頂級魚油</t>
        </is>
      </c>
      <c r="B30" s="50" t="inlineStr">
        <is>
          <t>B0DTT8T7X1</t>
        </is>
      </c>
      <c r="C30" s="49" t="inlineStr">
        <is>
          <t>成人頂級魚油 · 60粒×2</t>
        </is>
      </c>
      <c r="D30" s="51" t="inlineStr">
        <is>
          <t>W2</t>
        </is>
      </c>
      <c r="E30" s="52" t="n">
        <v>181.96</v>
      </c>
      <c r="F30" s="52" t="n">
        <v>173.4</v>
      </c>
      <c r="G30" s="14" t="n">
        <v>4</v>
      </c>
      <c r="H30" s="14" t="n">
        <v>4</v>
      </c>
      <c r="I30" s="14" t="n">
        <v>0</v>
      </c>
      <c r="J30" s="103" t="n">
        <v>1</v>
      </c>
      <c r="K30" s="54" t="n">
        <v>95.29566937788525</v>
      </c>
      <c r="L30" s="104" t="n">
        <v>3180.84</v>
      </c>
      <c r="M30" s="104" t="n">
        <v>66</v>
      </c>
    </row>
    <row r="31" ht="16" customHeight="1">
      <c r="A31" s="105" t="inlineStr">
        <is>
          <t>成人頂級魚油</t>
        </is>
      </c>
      <c r="B31" s="57" t="inlineStr">
        <is>
          <t>B0DTT8T7X1</t>
        </is>
      </c>
      <c r="C31" s="56" t="inlineStr">
        <is>
          <t>成人頂級魚油 · 60粒×2</t>
        </is>
      </c>
      <c r="D31" s="58" t="inlineStr">
        <is>
          <t>W3</t>
        </is>
      </c>
      <c r="E31" s="59" t="n">
        <v>45.49</v>
      </c>
      <c r="F31" s="59" t="n">
        <v>107.37</v>
      </c>
      <c r="G31" s="16" t="n">
        <v>1</v>
      </c>
      <c r="H31" s="16" t="n">
        <v>1</v>
      </c>
      <c r="I31" s="16" t="n">
        <v>0</v>
      </c>
      <c r="J31" s="106" t="n">
        <v>1</v>
      </c>
      <c r="K31" s="61" t="n">
        <v>236.0298966805892</v>
      </c>
      <c r="L31" s="107" t="n">
        <v>3180.84</v>
      </c>
      <c r="M31" s="107" t="n">
        <v>66</v>
      </c>
    </row>
    <row r="32" ht="16" customHeight="1">
      <c r="A32" s="108" t="inlineStr">
        <is>
          <t>成人頂級魚油</t>
        </is>
      </c>
      <c r="B32" s="64" t="inlineStr">
        <is>
          <t>B0DTT8T7X1</t>
        </is>
      </c>
      <c r="C32" s="63" t="inlineStr">
        <is>
          <t>成人頂級魚油 · 60粒×2</t>
        </is>
      </c>
      <c r="D32" s="65" t="inlineStr">
        <is>
          <t>W4</t>
        </is>
      </c>
      <c r="E32" s="66" t="n">
        <v>2250.04</v>
      </c>
      <c r="F32" s="66" t="n">
        <v>45.1</v>
      </c>
      <c r="G32" s="18" t="n">
        <v>46</v>
      </c>
      <c r="H32" s="18" t="n">
        <v>42</v>
      </c>
      <c r="I32" s="18" t="n">
        <v>4</v>
      </c>
      <c r="J32" s="109" t="n">
        <v>0.9130434782608695</v>
      </c>
      <c r="K32" s="68" t="n">
        <v>2.004408810510035</v>
      </c>
      <c r="L32" s="110" t="n">
        <v>3180.84</v>
      </c>
      <c r="M32" s="110" t="n">
        <v>66</v>
      </c>
    </row>
    <row r="33" ht="16" customHeight="1">
      <c r="A33" s="111" t="inlineStr">
        <is>
          <t>成人頂級魚油</t>
        </is>
      </c>
      <c r="B33" s="71" t="inlineStr">
        <is>
          <t>B0DTT8T7X1</t>
        </is>
      </c>
      <c r="C33" s="70" t="inlineStr">
        <is>
          <t>成人頂級魚油 · 60粒×2</t>
        </is>
      </c>
      <c r="D33" s="72" t="inlineStr">
        <is>
          <t>W5</t>
        </is>
      </c>
      <c r="E33" s="73" t="n">
        <v>293.94</v>
      </c>
      <c r="F33" s="73" t="n">
        <v>5.57</v>
      </c>
      <c r="G33" s="20" t="n">
        <v>6</v>
      </c>
      <c r="H33" s="20" t="n">
        <v>6</v>
      </c>
      <c r="I33" s="20" t="n">
        <v>0</v>
      </c>
      <c r="J33" s="112" t="n">
        <v>1</v>
      </c>
      <c r="K33" s="75" t="n">
        <v>1.89494454650609</v>
      </c>
      <c r="L33" s="113" t="n">
        <v>3180.84</v>
      </c>
      <c r="M33" s="113" t="n">
        <v>66</v>
      </c>
    </row>
    <row r="34" ht="16" customHeight="1">
      <c r="A34" s="99" t="inlineStr">
        <is>
          <t>成人頂級魚油</t>
        </is>
      </c>
      <c r="B34" s="43" t="inlineStr">
        <is>
          <t>B0DTTHJCRL</t>
        </is>
      </c>
      <c r="C34" s="42" t="inlineStr">
        <is>
          <t>成人頂級魚油 · 60粒</t>
        </is>
      </c>
      <c r="D34" s="44" t="inlineStr">
        <is>
          <t>W1</t>
        </is>
      </c>
      <c r="E34" s="45" t="n">
        <v>296.89</v>
      </c>
      <c r="F34" s="45" t="n">
        <v>93.47</v>
      </c>
      <c r="G34" s="12" t="n">
        <v>11</v>
      </c>
      <c r="H34" s="12" t="n">
        <v>10</v>
      </c>
      <c r="I34" s="12" t="n">
        <v>1</v>
      </c>
      <c r="J34" s="100" t="n">
        <v>0.9090909090909091</v>
      </c>
      <c r="K34" s="47" t="n">
        <v>31.48304085688302</v>
      </c>
      <c r="L34" s="101" t="n">
        <v>2051.24</v>
      </c>
      <c r="M34" s="101" t="n">
        <v>76</v>
      </c>
    </row>
    <row r="35" ht="16" customHeight="1">
      <c r="A35" s="102" t="inlineStr">
        <is>
          <t>成人頂級魚油</t>
        </is>
      </c>
      <c r="B35" s="50" t="inlineStr">
        <is>
          <t>B0DTTHJCRL</t>
        </is>
      </c>
      <c r="C35" s="49" t="inlineStr">
        <is>
          <t>成人頂級魚油 · 60粒</t>
        </is>
      </c>
      <c r="D35" s="51" t="inlineStr">
        <is>
          <t>W2</t>
        </is>
      </c>
      <c r="E35" s="52" t="n">
        <v>377.86</v>
      </c>
      <c r="F35" s="52" t="n">
        <v>756.05</v>
      </c>
      <c r="G35" s="14" t="n">
        <v>14</v>
      </c>
      <c r="H35" s="14" t="n">
        <v>7</v>
      </c>
      <c r="I35" s="14" t="n">
        <v>7</v>
      </c>
      <c r="J35" s="103" t="n">
        <v>0.5</v>
      </c>
      <c r="K35" s="54" t="n">
        <v>200.0873339332028</v>
      </c>
      <c r="L35" s="104" t="n">
        <v>2051.24</v>
      </c>
      <c r="M35" s="104" t="n">
        <v>76</v>
      </c>
    </row>
    <row r="36" ht="16" customHeight="1">
      <c r="A36" s="105" t="inlineStr">
        <is>
          <t>成人頂級魚油</t>
        </is>
      </c>
      <c r="B36" s="57" t="inlineStr">
        <is>
          <t>B0DTTHJCRL</t>
        </is>
      </c>
      <c r="C36" s="56" t="inlineStr">
        <is>
          <t>成人頂級魚油 · 60粒</t>
        </is>
      </c>
      <c r="D36" s="58" t="inlineStr">
        <is>
          <t>W3</t>
        </is>
      </c>
      <c r="E36" s="59" t="n">
        <v>296.89</v>
      </c>
      <c r="F36" s="59" t="n">
        <v>430.93</v>
      </c>
      <c r="G36" s="16" t="n">
        <v>11</v>
      </c>
      <c r="H36" s="16" t="n">
        <v>4</v>
      </c>
      <c r="I36" s="16" t="n">
        <v>7</v>
      </c>
      <c r="J36" s="106" t="n">
        <v>0.3636363636363636</v>
      </c>
      <c r="K36" s="61" t="n">
        <v>145.1480346256189</v>
      </c>
      <c r="L36" s="107" t="n">
        <v>2051.24</v>
      </c>
      <c r="M36" s="107" t="n">
        <v>76</v>
      </c>
    </row>
    <row r="37" ht="16" customHeight="1">
      <c r="A37" s="108" t="inlineStr">
        <is>
          <t>成人頂級魚油</t>
        </is>
      </c>
      <c r="B37" s="64" t="inlineStr">
        <is>
          <t>B0DTTHJCRL</t>
        </is>
      </c>
      <c r="C37" s="63" t="inlineStr">
        <is>
          <t>成人頂級魚油 · 60粒</t>
        </is>
      </c>
      <c r="D37" s="65" t="inlineStr">
        <is>
          <t>W4</t>
        </is>
      </c>
      <c r="E37" s="66" t="n">
        <v>782.71</v>
      </c>
      <c r="F37" s="66" t="n">
        <v>578.49</v>
      </c>
      <c r="G37" s="18" t="n">
        <v>29</v>
      </c>
      <c r="H37" s="18" t="n">
        <v>18</v>
      </c>
      <c r="I37" s="18" t="n">
        <v>11</v>
      </c>
      <c r="J37" s="109" t="n">
        <v>0.6206896551724138</v>
      </c>
      <c r="K37" s="68" t="n">
        <v>73.90859960905061</v>
      </c>
      <c r="L37" s="110" t="n">
        <v>2051.24</v>
      </c>
      <c r="M37" s="110" t="n">
        <v>76</v>
      </c>
    </row>
    <row r="38" ht="16" customHeight="1">
      <c r="A38" s="111" t="inlineStr">
        <is>
          <t>成人頂級魚油</t>
        </is>
      </c>
      <c r="B38" s="71" t="inlineStr">
        <is>
          <t>B0DTTHJCRL</t>
        </is>
      </c>
      <c r="C38" s="70" t="inlineStr">
        <is>
          <t>成人頂級魚油 · 60粒</t>
        </is>
      </c>
      <c r="D38" s="72" t="inlineStr">
        <is>
          <t>W5</t>
        </is>
      </c>
      <c r="E38" s="73" t="n">
        <v>296.89</v>
      </c>
      <c r="F38" s="73" t="n">
        <v>17.59</v>
      </c>
      <c r="G38" s="20" t="n">
        <v>11</v>
      </c>
      <c r="H38" s="20" t="n">
        <v>11</v>
      </c>
      <c r="I38" s="20" t="n">
        <v>0</v>
      </c>
      <c r="J38" s="112" t="n">
        <v>1</v>
      </c>
      <c r="K38" s="75" t="n">
        <v>5.924753275623969</v>
      </c>
      <c r="L38" s="113" t="n">
        <v>2051.24</v>
      </c>
      <c r="M38" s="113" t="n">
        <v>76</v>
      </c>
    </row>
    <row r="39" ht="16" customHeight="1">
      <c r="A39" s="99" t="inlineStr">
        <is>
          <t>成人頂級魚油</t>
        </is>
      </c>
      <c r="B39" s="43" t="inlineStr">
        <is>
          <t>B09WYNL91P</t>
        </is>
      </c>
      <c r="C39" s="42" t="inlineStr">
        <is>
          <t>DAIKEN rTG Omega 3 1000mg, High Absorpti</t>
        </is>
      </c>
      <c r="D39" s="44" t="inlineStr">
        <is>
          <t>W1</t>
        </is>
      </c>
      <c r="E39" s="45" t="n">
        <v>0</v>
      </c>
      <c r="F39" s="45" t="n">
        <v>0</v>
      </c>
      <c r="G39" s="12" t="n">
        <v>0</v>
      </c>
      <c r="H39" s="12" t="n">
        <v>0</v>
      </c>
      <c r="I39" s="12" t="n">
        <v>0</v>
      </c>
      <c r="J39" s="114" t="n"/>
      <c r="K39" s="115" t="n"/>
      <c r="L39" s="101" t="n">
        <v>0</v>
      </c>
      <c r="M39" s="101" t="n">
        <v>0</v>
      </c>
    </row>
    <row r="40" ht="16" customHeight="1">
      <c r="A40" s="102" t="inlineStr">
        <is>
          <t>成人頂級魚油</t>
        </is>
      </c>
      <c r="B40" s="50" t="inlineStr">
        <is>
          <t>B09WYNL91P</t>
        </is>
      </c>
      <c r="C40" s="49" t="inlineStr">
        <is>
          <t>DAIKEN rTG Omega 3 1000mg, High Absorpti</t>
        </is>
      </c>
      <c r="D40" s="51" t="inlineStr">
        <is>
          <t>W2</t>
        </is>
      </c>
      <c r="E40" s="52" t="n">
        <v>0</v>
      </c>
      <c r="F40" s="52" t="n">
        <v>0</v>
      </c>
      <c r="G40" s="14" t="n">
        <v>0</v>
      </c>
      <c r="H40" s="14" t="n">
        <v>0</v>
      </c>
      <c r="I40" s="14" t="n">
        <v>0</v>
      </c>
      <c r="J40" s="116" t="n"/>
      <c r="K40" s="117" t="n"/>
      <c r="L40" s="104" t="n">
        <v>0</v>
      </c>
      <c r="M40" s="104" t="n">
        <v>0</v>
      </c>
    </row>
    <row r="41" ht="16" customHeight="1">
      <c r="A41" s="105" t="inlineStr">
        <is>
          <t>成人頂級魚油</t>
        </is>
      </c>
      <c r="B41" s="57" t="inlineStr">
        <is>
          <t>B09WYNL91P</t>
        </is>
      </c>
      <c r="C41" s="56" t="inlineStr">
        <is>
          <t>DAIKEN rTG Omega 3 1000mg, High Absorpti</t>
        </is>
      </c>
      <c r="D41" s="58" t="inlineStr">
        <is>
          <t>W3</t>
        </is>
      </c>
      <c r="E41" s="59" t="n">
        <v>0</v>
      </c>
      <c r="F41" s="59" t="n">
        <v>0</v>
      </c>
      <c r="G41" s="16" t="n">
        <v>0</v>
      </c>
      <c r="H41" s="16" t="n">
        <v>0</v>
      </c>
      <c r="I41" s="16" t="n">
        <v>0</v>
      </c>
      <c r="J41" s="118" t="n"/>
      <c r="K41" s="36" t="n"/>
      <c r="L41" s="107" t="n">
        <v>0</v>
      </c>
      <c r="M41" s="107" t="n">
        <v>0</v>
      </c>
    </row>
    <row r="42" ht="16" customHeight="1">
      <c r="A42" s="108" t="inlineStr">
        <is>
          <t>成人頂級魚油</t>
        </is>
      </c>
      <c r="B42" s="64" t="inlineStr">
        <is>
          <t>B09WYNL91P</t>
        </is>
      </c>
      <c r="C42" s="63" t="inlineStr">
        <is>
          <t>DAIKEN rTG Omega 3 1000mg, High Absorpti</t>
        </is>
      </c>
      <c r="D42" s="65" t="inlineStr">
        <is>
          <t>W4</t>
        </is>
      </c>
      <c r="E42" s="66" t="n">
        <v>0</v>
      </c>
      <c r="F42" s="66" t="n">
        <v>0</v>
      </c>
      <c r="G42" s="18" t="n">
        <v>0</v>
      </c>
      <c r="H42" s="18" t="n">
        <v>0</v>
      </c>
      <c r="I42" s="18" t="n">
        <v>0</v>
      </c>
      <c r="J42" s="119" t="n"/>
      <c r="K42" s="120" t="n"/>
      <c r="L42" s="110" t="n">
        <v>0</v>
      </c>
      <c r="M42" s="110" t="n">
        <v>0</v>
      </c>
    </row>
    <row r="43" ht="16" customHeight="1">
      <c r="A43" s="111" t="inlineStr">
        <is>
          <t>成人頂級魚油</t>
        </is>
      </c>
      <c r="B43" s="71" t="inlineStr">
        <is>
          <t>B09WYNL91P</t>
        </is>
      </c>
      <c r="C43" s="70" t="inlineStr">
        <is>
          <t>DAIKEN rTG Omega 3 1000mg, High Absorpti</t>
        </is>
      </c>
      <c r="D43" s="72" t="inlineStr">
        <is>
          <t>W5</t>
        </is>
      </c>
      <c r="E43" s="73" t="n">
        <v>0</v>
      </c>
      <c r="F43" s="73" t="n">
        <v>0</v>
      </c>
      <c r="G43" s="20" t="n">
        <v>0</v>
      </c>
      <c r="H43" s="20" t="n">
        <v>0</v>
      </c>
      <c r="I43" s="20" t="n">
        <v>0</v>
      </c>
      <c r="J43" s="121" t="n"/>
      <c r="K43" s="122" t="n"/>
      <c r="L43" s="113" t="n">
        <v>0</v>
      </c>
      <c r="M43" s="113" t="n">
        <v>0</v>
      </c>
    </row>
    <row r="44" ht="16" customHeight="1">
      <c r="A44" s="99" t="inlineStr">
        <is>
          <t>成人頂級魚油</t>
        </is>
      </c>
      <c r="B44" s="43" t="inlineStr">
        <is>
          <t>B0BRMWRKXV</t>
        </is>
      </c>
      <c r="C44" s="42" t="inlineStr">
        <is>
          <t>DAIKEN rTG Omega 3 1000mg, High Absorpti</t>
        </is>
      </c>
      <c r="D44" s="44" t="inlineStr">
        <is>
          <t>W1</t>
        </is>
      </c>
      <c r="E44" s="45" t="n">
        <v>0</v>
      </c>
      <c r="F44" s="45" t="n">
        <v>0</v>
      </c>
      <c r="G44" s="12" t="n">
        <v>0</v>
      </c>
      <c r="H44" s="12" t="n">
        <v>0</v>
      </c>
      <c r="I44" s="12" t="n">
        <v>0</v>
      </c>
      <c r="J44" s="114" t="n"/>
      <c r="K44" s="115" t="n"/>
      <c r="L44" s="101" t="n">
        <v>0</v>
      </c>
      <c r="M44" s="101" t="n">
        <v>0</v>
      </c>
    </row>
    <row r="45" ht="16" customHeight="1">
      <c r="A45" s="102" t="inlineStr">
        <is>
          <t>成人頂級魚油</t>
        </is>
      </c>
      <c r="B45" s="50" t="inlineStr">
        <is>
          <t>B0BRMWRKXV</t>
        </is>
      </c>
      <c r="C45" s="49" t="inlineStr">
        <is>
          <t>DAIKEN rTG Omega 3 1000mg, High Absorpti</t>
        </is>
      </c>
      <c r="D45" s="51" t="inlineStr">
        <is>
          <t>W2</t>
        </is>
      </c>
      <c r="E45" s="52" t="n">
        <v>0</v>
      </c>
      <c r="F45" s="52" t="n">
        <v>0</v>
      </c>
      <c r="G45" s="14" t="n">
        <v>0</v>
      </c>
      <c r="H45" s="14" t="n">
        <v>0</v>
      </c>
      <c r="I45" s="14" t="n">
        <v>0</v>
      </c>
      <c r="J45" s="116" t="n"/>
      <c r="K45" s="117" t="n"/>
      <c r="L45" s="104" t="n">
        <v>0</v>
      </c>
      <c r="M45" s="104" t="n">
        <v>0</v>
      </c>
    </row>
    <row r="46" ht="16" customHeight="1">
      <c r="A46" s="105" t="inlineStr">
        <is>
          <t>成人頂級魚油</t>
        </is>
      </c>
      <c r="B46" s="57" t="inlineStr">
        <is>
          <t>B0BRMWRKXV</t>
        </is>
      </c>
      <c r="C46" s="56" t="inlineStr">
        <is>
          <t>DAIKEN rTG Omega 3 1000mg, High Absorpti</t>
        </is>
      </c>
      <c r="D46" s="58" t="inlineStr">
        <is>
          <t>W3</t>
        </is>
      </c>
      <c r="E46" s="59" t="n">
        <v>0</v>
      </c>
      <c r="F46" s="59" t="n">
        <v>0</v>
      </c>
      <c r="G46" s="16" t="n">
        <v>0</v>
      </c>
      <c r="H46" s="16" t="n">
        <v>0</v>
      </c>
      <c r="I46" s="16" t="n">
        <v>0</v>
      </c>
      <c r="J46" s="118" t="n"/>
      <c r="K46" s="36" t="n"/>
      <c r="L46" s="107" t="n">
        <v>0</v>
      </c>
      <c r="M46" s="107" t="n">
        <v>0</v>
      </c>
    </row>
    <row r="47" ht="16" customHeight="1">
      <c r="A47" s="108" t="inlineStr">
        <is>
          <t>成人頂級魚油</t>
        </is>
      </c>
      <c r="B47" s="64" t="inlineStr">
        <is>
          <t>B0BRMWRKXV</t>
        </is>
      </c>
      <c r="C47" s="63" t="inlineStr">
        <is>
          <t>DAIKEN rTG Omega 3 1000mg, High Absorpti</t>
        </is>
      </c>
      <c r="D47" s="65" t="inlineStr">
        <is>
          <t>W4</t>
        </is>
      </c>
      <c r="E47" s="66" t="n">
        <v>0</v>
      </c>
      <c r="F47" s="66" t="n">
        <v>0</v>
      </c>
      <c r="G47" s="18" t="n">
        <v>0</v>
      </c>
      <c r="H47" s="18" t="n">
        <v>0</v>
      </c>
      <c r="I47" s="18" t="n">
        <v>0</v>
      </c>
      <c r="J47" s="119" t="n"/>
      <c r="K47" s="120" t="n"/>
      <c r="L47" s="110" t="n">
        <v>0</v>
      </c>
      <c r="M47" s="110" t="n">
        <v>0</v>
      </c>
    </row>
    <row r="48" ht="16" customHeight="1">
      <c r="A48" s="111" t="inlineStr">
        <is>
          <t>成人頂級魚油</t>
        </is>
      </c>
      <c r="B48" s="71" t="inlineStr">
        <is>
          <t>B0BRMWRKXV</t>
        </is>
      </c>
      <c r="C48" s="70" t="inlineStr">
        <is>
          <t>DAIKEN rTG Omega 3 1000mg, High Absorpti</t>
        </is>
      </c>
      <c r="D48" s="72" t="inlineStr">
        <is>
          <t>W5</t>
        </is>
      </c>
      <c r="E48" s="73" t="n">
        <v>0</v>
      </c>
      <c r="F48" s="73" t="n">
        <v>0</v>
      </c>
      <c r="G48" s="20" t="n">
        <v>0</v>
      </c>
      <c r="H48" s="20" t="n">
        <v>0</v>
      </c>
      <c r="I48" s="20" t="n">
        <v>0</v>
      </c>
      <c r="J48" s="121" t="n"/>
      <c r="K48" s="122" t="n"/>
      <c r="L48" s="113" t="n">
        <v>0</v>
      </c>
      <c r="M48" s="113" t="n">
        <v>0</v>
      </c>
    </row>
    <row r="49" ht="16" customHeight="1">
      <c r="A49" s="99" t="inlineStr">
        <is>
          <t>苦瓜酵素</t>
        </is>
      </c>
      <c r="B49" s="43" t="inlineStr">
        <is>
          <t>B0DV3VX26C</t>
        </is>
      </c>
      <c r="C49" s="42" t="inlineStr">
        <is>
          <t>苦瓜酵素 · 60粒</t>
        </is>
      </c>
      <c r="D49" s="44" t="inlineStr">
        <is>
          <t>W1</t>
        </is>
      </c>
      <c r="E49" s="45" t="n">
        <v>577.29</v>
      </c>
      <c r="F49" s="45" t="n">
        <v>442.28</v>
      </c>
      <c r="G49" s="12" t="n">
        <v>21</v>
      </c>
      <c r="H49" s="12" t="n">
        <v>7</v>
      </c>
      <c r="I49" s="12" t="n">
        <v>14</v>
      </c>
      <c r="J49" s="100" t="n">
        <v>0.3333333333333333</v>
      </c>
      <c r="K49" s="47" t="n">
        <v>76.61314070917562</v>
      </c>
      <c r="L49" s="101" t="n">
        <v>2858.96</v>
      </c>
      <c r="M49" s="101" t="n">
        <v>104</v>
      </c>
    </row>
    <row r="50" ht="16" customHeight="1">
      <c r="A50" s="102" t="inlineStr">
        <is>
          <t>苦瓜酵素</t>
        </is>
      </c>
      <c r="B50" s="50" t="inlineStr">
        <is>
          <t>B0DV3VX26C</t>
        </is>
      </c>
      <c r="C50" s="49" t="inlineStr">
        <is>
          <t>苦瓜酵素 · 60粒</t>
        </is>
      </c>
      <c r="D50" s="51" t="inlineStr">
        <is>
          <t>W2</t>
        </is>
      </c>
      <c r="E50" s="52" t="n">
        <v>522.3099999999999</v>
      </c>
      <c r="F50" s="52" t="n">
        <v>542.39</v>
      </c>
      <c r="G50" s="14" t="n">
        <v>19</v>
      </c>
      <c r="H50" s="14" t="n">
        <v>8</v>
      </c>
      <c r="I50" s="14" t="n">
        <v>11</v>
      </c>
      <c r="J50" s="103" t="n">
        <v>0.4210526315789473</v>
      </c>
      <c r="K50" s="54" t="n">
        <v>103.8444601864793</v>
      </c>
      <c r="L50" s="104" t="n">
        <v>2858.96</v>
      </c>
      <c r="M50" s="104" t="n">
        <v>104</v>
      </c>
    </row>
    <row r="51" ht="16" customHeight="1">
      <c r="A51" s="105" t="inlineStr">
        <is>
          <t>苦瓜酵素</t>
        </is>
      </c>
      <c r="B51" s="57" t="inlineStr">
        <is>
          <t>B0DV3VX26C</t>
        </is>
      </c>
      <c r="C51" s="56" t="inlineStr">
        <is>
          <t>苦瓜酵素 · 60粒</t>
        </is>
      </c>
      <c r="D51" s="58" t="inlineStr">
        <is>
          <t>W3</t>
        </is>
      </c>
      <c r="E51" s="59" t="n">
        <v>384.86</v>
      </c>
      <c r="F51" s="59" t="n">
        <v>849.78</v>
      </c>
      <c r="G51" s="16" t="n">
        <v>14</v>
      </c>
      <c r="H51" s="16" t="n">
        <v>4</v>
      </c>
      <c r="I51" s="16" t="n">
        <v>10</v>
      </c>
      <c r="J51" s="106" t="n">
        <v>0.2857142857142857</v>
      </c>
      <c r="K51" s="61" t="n">
        <v>220.8023696928753</v>
      </c>
      <c r="L51" s="107" t="n">
        <v>2858.96</v>
      </c>
      <c r="M51" s="107" t="n">
        <v>104</v>
      </c>
    </row>
    <row r="52" ht="16" customHeight="1">
      <c r="A52" s="108" t="inlineStr">
        <is>
          <t>苦瓜酵素</t>
        </is>
      </c>
      <c r="B52" s="64" t="inlineStr">
        <is>
          <t>B0DV3VX26C</t>
        </is>
      </c>
      <c r="C52" s="63" t="inlineStr">
        <is>
          <t>苦瓜酵素 · 60粒</t>
        </is>
      </c>
      <c r="D52" s="65" t="inlineStr">
        <is>
          <t>W4</t>
        </is>
      </c>
      <c r="E52" s="66" t="n">
        <v>962.15</v>
      </c>
      <c r="F52" s="66" t="n">
        <v>493.85</v>
      </c>
      <c r="G52" s="18" t="n">
        <v>35</v>
      </c>
      <c r="H52" s="18" t="n">
        <v>24</v>
      </c>
      <c r="I52" s="18" t="n">
        <v>11</v>
      </c>
      <c r="J52" s="109" t="n">
        <v>0.6857142857142857</v>
      </c>
      <c r="K52" s="68" t="n">
        <v>51.32775554747181</v>
      </c>
      <c r="L52" s="110" t="n">
        <v>2858.96</v>
      </c>
      <c r="M52" s="110" t="n">
        <v>104</v>
      </c>
    </row>
    <row r="53" ht="16" customHeight="1">
      <c r="A53" s="111" t="inlineStr">
        <is>
          <t>苦瓜酵素</t>
        </is>
      </c>
      <c r="B53" s="71" t="inlineStr">
        <is>
          <t>B0DV3VX26C</t>
        </is>
      </c>
      <c r="C53" s="70" t="inlineStr">
        <is>
          <t>苦瓜酵素 · 60粒</t>
        </is>
      </c>
      <c r="D53" s="72" t="inlineStr">
        <is>
          <t>W5</t>
        </is>
      </c>
      <c r="E53" s="73" t="n">
        <v>412.35</v>
      </c>
      <c r="F53" s="73" t="n">
        <v>299.79</v>
      </c>
      <c r="G53" s="20" t="n">
        <v>15</v>
      </c>
      <c r="H53" s="20" t="n">
        <v>12</v>
      </c>
      <c r="I53" s="20" t="n">
        <v>3</v>
      </c>
      <c r="J53" s="112" t="n">
        <v>0.8</v>
      </c>
      <c r="K53" s="75" t="n">
        <v>72.70280101855219</v>
      </c>
      <c r="L53" s="113" t="n">
        <v>2858.96</v>
      </c>
      <c r="M53" s="113" t="n">
        <v>104</v>
      </c>
    </row>
    <row r="54" ht="16" customHeight="1">
      <c r="A54" s="99" t="inlineStr">
        <is>
          <t>苦瓜酵素</t>
        </is>
      </c>
      <c r="B54" s="43" t="inlineStr">
        <is>
          <t>B0DV3SJ8LK</t>
        </is>
      </c>
      <c r="C54" s="42" t="inlineStr">
        <is>
          <t>苦瓜酵素 · 60粒×2</t>
        </is>
      </c>
      <c r="D54" s="44" t="inlineStr">
        <is>
          <t>W1</t>
        </is>
      </c>
      <c r="E54" s="45" t="n">
        <v>215.96</v>
      </c>
      <c r="F54" s="45" t="n">
        <v>34.69</v>
      </c>
      <c r="G54" s="12" t="n">
        <v>4</v>
      </c>
      <c r="H54" s="12" t="n">
        <v>4</v>
      </c>
      <c r="I54" s="12" t="n">
        <v>0</v>
      </c>
      <c r="J54" s="100" t="n">
        <v>1</v>
      </c>
      <c r="K54" s="47" t="n">
        <v>16.06315984441563</v>
      </c>
      <c r="L54" s="101" t="n">
        <v>1781.67</v>
      </c>
      <c r="M54" s="101" t="n">
        <v>33</v>
      </c>
    </row>
    <row r="55" ht="16" customHeight="1">
      <c r="A55" s="102" t="inlineStr">
        <is>
          <t>苦瓜酵素</t>
        </is>
      </c>
      <c r="B55" s="50" t="inlineStr">
        <is>
          <t>B0DV3SJ8LK</t>
        </is>
      </c>
      <c r="C55" s="49" t="inlineStr">
        <is>
          <t>苦瓜酵素 · 60粒×2</t>
        </is>
      </c>
      <c r="D55" s="51" t="inlineStr">
        <is>
          <t>W2</t>
        </is>
      </c>
      <c r="E55" s="52" t="n">
        <v>269.95</v>
      </c>
      <c r="F55" s="52" t="n">
        <v>106.86</v>
      </c>
      <c r="G55" s="14" t="n">
        <v>5</v>
      </c>
      <c r="H55" s="14" t="n">
        <v>3</v>
      </c>
      <c r="I55" s="14" t="n">
        <v>2</v>
      </c>
      <c r="J55" s="103" t="n">
        <v>0.6</v>
      </c>
      <c r="K55" s="54" t="n">
        <v>39.58510835339878</v>
      </c>
      <c r="L55" s="104" t="n">
        <v>1781.67</v>
      </c>
      <c r="M55" s="104" t="n">
        <v>33</v>
      </c>
    </row>
    <row r="56" ht="16" customHeight="1">
      <c r="A56" s="105" t="inlineStr">
        <is>
          <t>苦瓜酵素</t>
        </is>
      </c>
      <c r="B56" s="57" t="inlineStr">
        <is>
          <t>B0DV3SJ8LK</t>
        </is>
      </c>
      <c r="C56" s="56" t="inlineStr">
        <is>
          <t>苦瓜酵素 · 60粒×2</t>
        </is>
      </c>
      <c r="D56" s="58" t="inlineStr">
        <is>
          <t>W3</t>
        </is>
      </c>
      <c r="E56" s="59" t="n">
        <v>971.8200000000001</v>
      </c>
      <c r="F56" s="59" t="n">
        <v>184.3</v>
      </c>
      <c r="G56" s="16" t="n">
        <v>18</v>
      </c>
      <c r="H56" s="16" t="n">
        <v>17</v>
      </c>
      <c r="I56" s="16" t="n">
        <v>1</v>
      </c>
      <c r="J56" s="106" t="n">
        <v>0.9444444444444444</v>
      </c>
      <c r="K56" s="61" t="n">
        <v>18.96441727891996</v>
      </c>
      <c r="L56" s="107" t="n">
        <v>1781.67</v>
      </c>
      <c r="M56" s="107" t="n">
        <v>33</v>
      </c>
    </row>
    <row r="57" ht="16" customHeight="1">
      <c r="A57" s="108" t="inlineStr">
        <is>
          <t>苦瓜酵素</t>
        </is>
      </c>
      <c r="B57" s="64" t="inlineStr">
        <is>
          <t>B0DV3SJ8LK</t>
        </is>
      </c>
      <c r="C57" s="63" t="inlineStr">
        <is>
          <t>苦瓜酵素 · 60粒×2</t>
        </is>
      </c>
      <c r="D57" s="65" t="inlineStr">
        <is>
          <t>W4</t>
        </is>
      </c>
      <c r="E57" s="66" t="n">
        <v>215.96</v>
      </c>
      <c r="F57" s="66" t="n">
        <v>80.58</v>
      </c>
      <c r="G57" s="18" t="n">
        <v>4</v>
      </c>
      <c r="H57" s="18" t="n">
        <v>3</v>
      </c>
      <c r="I57" s="18" t="n">
        <v>1</v>
      </c>
      <c r="J57" s="109" t="n">
        <v>0.75</v>
      </c>
      <c r="K57" s="68" t="n">
        <v>37.31246527134655</v>
      </c>
      <c r="L57" s="110" t="n">
        <v>1781.67</v>
      </c>
      <c r="M57" s="110" t="n">
        <v>33</v>
      </c>
    </row>
    <row r="58" ht="16" customHeight="1">
      <c r="A58" s="111" t="inlineStr">
        <is>
          <t>苦瓜酵素</t>
        </is>
      </c>
      <c r="B58" s="71" t="inlineStr">
        <is>
          <t>B0DV3SJ8LK</t>
        </is>
      </c>
      <c r="C58" s="70" t="inlineStr">
        <is>
          <t>苦瓜酵素 · 60粒×2</t>
        </is>
      </c>
      <c r="D58" s="72" t="inlineStr">
        <is>
          <t>W5</t>
        </is>
      </c>
      <c r="E58" s="73" t="n">
        <v>107.98</v>
      </c>
      <c r="F58" s="73" t="n">
        <v>66.81</v>
      </c>
      <c r="G58" s="20" t="n">
        <v>2</v>
      </c>
      <c r="H58" s="20" t="n">
        <v>1</v>
      </c>
      <c r="I58" s="20" t="n">
        <v>1</v>
      </c>
      <c r="J58" s="112" t="n">
        <v>0.5</v>
      </c>
      <c r="K58" s="75" t="n">
        <v>61.8725689942582</v>
      </c>
      <c r="L58" s="113" t="n">
        <v>1781.67</v>
      </c>
      <c r="M58" s="113" t="n">
        <v>33</v>
      </c>
    </row>
    <row r="59" ht="16" customHeight="1">
      <c r="A59" s="99" t="inlineStr">
        <is>
          <t>苦瓜酵素</t>
        </is>
      </c>
      <c r="B59" s="43" t="inlineStr">
        <is>
          <t>B0CM3LGDT9</t>
        </is>
      </c>
      <c r="C59" s="42" t="inlineStr">
        <is>
          <t>DAIKEN Bitter Melon 90,000 mg Equivalent</t>
        </is>
      </c>
      <c r="D59" s="44" t="inlineStr">
        <is>
          <t>W1</t>
        </is>
      </c>
      <c r="E59" s="45" t="n">
        <v>0</v>
      </c>
      <c r="F59" s="45" t="n">
        <v>0</v>
      </c>
      <c r="G59" s="12" t="n">
        <v>0</v>
      </c>
      <c r="H59" s="12" t="n">
        <v>0</v>
      </c>
      <c r="I59" s="12" t="n">
        <v>0</v>
      </c>
      <c r="J59" s="114" t="n"/>
      <c r="K59" s="115" t="n"/>
      <c r="L59" s="101" t="n">
        <v>0</v>
      </c>
      <c r="M59" s="101" t="n">
        <v>0</v>
      </c>
    </row>
    <row r="60" ht="16" customHeight="1">
      <c r="A60" s="102" t="inlineStr">
        <is>
          <t>苦瓜酵素</t>
        </is>
      </c>
      <c r="B60" s="50" t="inlineStr">
        <is>
          <t>B0CM3LGDT9</t>
        </is>
      </c>
      <c r="C60" s="49" t="inlineStr">
        <is>
          <t>DAIKEN Bitter Melon 90,000 mg Equivalent</t>
        </is>
      </c>
      <c r="D60" s="51" t="inlineStr">
        <is>
          <t>W2</t>
        </is>
      </c>
      <c r="E60" s="52" t="n">
        <v>0</v>
      </c>
      <c r="F60" s="52" t="n">
        <v>0</v>
      </c>
      <c r="G60" s="14" t="n">
        <v>0</v>
      </c>
      <c r="H60" s="14" t="n">
        <v>0</v>
      </c>
      <c r="I60" s="14" t="n">
        <v>0</v>
      </c>
      <c r="J60" s="116" t="n"/>
      <c r="K60" s="117" t="n"/>
      <c r="L60" s="104" t="n">
        <v>0</v>
      </c>
      <c r="M60" s="104" t="n">
        <v>0</v>
      </c>
    </row>
    <row r="61" ht="16" customHeight="1">
      <c r="A61" s="105" t="inlineStr">
        <is>
          <t>苦瓜酵素</t>
        </is>
      </c>
      <c r="B61" s="57" t="inlineStr">
        <is>
          <t>B0CM3LGDT9</t>
        </is>
      </c>
      <c r="C61" s="56" t="inlineStr">
        <is>
          <t>DAIKEN Bitter Melon 90,000 mg Equivalent</t>
        </is>
      </c>
      <c r="D61" s="58" t="inlineStr">
        <is>
          <t>W3</t>
        </is>
      </c>
      <c r="E61" s="59" t="n">
        <v>0</v>
      </c>
      <c r="F61" s="59" t="n">
        <v>0</v>
      </c>
      <c r="G61" s="16" t="n">
        <v>0</v>
      </c>
      <c r="H61" s="16" t="n">
        <v>0</v>
      </c>
      <c r="I61" s="16" t="n">
        <v>0</v>
      </c>
      <c r="J61" s="118" t="n"/>
      <c r="K61" s="36" t="n"/>
      <c r="L61" s="107" t="n">
        <v>0</v>
      </c>
      <c r="M61" s="107" t="n">
        <v>0</v>
      </c>
    </row>
    <row r="62" ht="16" customHeight="1">
      <c r="A62" s="108" t="inlineStr">
        <is>
          <t>苦瓜酵素</t>
        </is>
      </c>
      <c r="B62" s="64" t="inlineStr">
        <is>
          <t>B0CM3LGDT9</t>
        </is>
      </c>
      <c r="C62" s="63" t="inlineStr">
        <is>
          <t>DAIKEN Bitter Melon 90,000 mg Equivalent</t>
        </is>
      </c>
      <c r="D62" s="65" t="inlineStr">
        <is>
          <t>W4</t>
        </is>
      </c>
      <c r="E62" s="66" t="n">
        <v>0</v>
      </c>
      <c r="F62" s="66" t="n">
        <v>0</v>
      </c>
      <c r="G62" s="18" t="n">
        <v>0</v>
      </c>
      <c r="H62" s="18" t="n">
        <v>0</v>
      </c>
      <c r="I62" s="18" t="n">
        <v>0</v>
      </c>
      <c r="J62" s="119" t="n"/>
      <c r="K62" s="120" t="n"/>
      <c r="L62" s="110" t="n">
        <v>0</v>
      </c>
      <c r="M62" s="110" t="n">
        <v>0</v>
      </c>
    </row>
    <row r="63" ht="16" customHeight="1">
      <c r="A63" s="111" t="inlineStr">
        <is>
          <t>苦瓜酵素</t>
        </is>
      </c>
      <c r="B63" s="71" t="inlineStr">
        <is>
          <t>B0CM3LGDT9</t>
        </is>
      </c>
      <c r="C63" s="70" t="inlineStr">
        <is>
          <t>DAIKEN Bitter Melon 90,000 mg Equivalent</t>
        </is>
      </c>
      <c r="D63" s="72" t="inlineStr">
        <is>
          <t>W5</t>
        </is>
      </c>
      <c r="E63" s="73" t="n">
        <v>0</v>
      </c>
      <c r="F63" s="73" t="n">
        <v>0</v>
      </c>
      <c r="G63" s="20" t="n">
        <v>0</v>
      </c>
      <c r="H63" s="20" t="n">
        <v>0</v>
      </c>
      <c r="I63" s="20" t="n">
        <v>0</v>
      </c>
      <c r="J63" s="121" t="n"/>
      <c r="K63" s="122" t="n"/>
      <c r="L63" s="113" t="n">
        <v>0</v>
      </c>
      <c r="M63" s="113" t="n">
        <v>0</v>
      </c>
    </row>
    <row r="64" ht="16" customHeight="1">
      <c r="A64" s="99" t="inlineStr">
        <is>
          <t>苦瓜酵素</t>
        </is>
      </c>
      <c r="B64" s="43" t="inlineStr">
        <is>
          <t>B0CPSRQRNB</t>
        </is>
      </c>
      <c r="C64" s="42" t="inlineStr">
        <is>
          <t>DAIKEN Bitter Melon 90,000 mg Equivalent</t>
        </is>
      </c>
      <c r="D64" s="44" t="inlineStr">
        <is>
          <t>W1</t>
        </is>
      </c>
      <c r="E64" s="45" t="n">
        <v>0</v>
      </c>
      <c r="F64" s="45" t="n">
        <v>0</v>
      </c>
      <c r="G64" s="12" t="n">
        <v>0</v>
      </c>
      <c r="H64" s="12" t="n">
        <v>0</v>
      </c>
      <c r="I64" s="12" t="n">
        <v>0</v>
      </c>
      <c r="J64" s="114" t="n"/>
      <c r="K64" s="115" t="n"/>
      <c r="L64" s="101" t="n">
        <v>0</v>
      </c>
      <c r="M64" s="101" t="n">
        <v>0</v>
      </c>
    </row>
    <row r="65" ht="16" customHeight="1">
      <c r="A65" s="102" t="inlineStr">
        <is>
          <t>苦瓜酵素</t>
        </is>
      </c>
      <c r="B65" s="50" t="inlineStr">
        <is>
          <t>B0CPSRQRNB</t>
        </is>
      </c>
      <c r="C65" s="49" t="inlineStr">
        <is>
          <t>DAIKEN Bitter Melon 90,000 mg Equivalent</t>
        </is>
      </c>
      <c r="D65" s="51" t="inlineStr">
        <is>
          <t>W2</t>
        </is>
      </c>
      <c r="E65" s="52" t="n">
        <v>0</v>
      </c>
      <c r="F65" s="52" t="n">
        <v>0</v>
      </c>
      <c r="G65" s="14" t="n">
        <v>0</v>
      </c>
      <c r="H65" s="14" t="n">
        <v>0</v>
      </c>
      <c r="I65" s="14" t="n">
        <v>0</v>
      </c>
      <c r="J65" s="116" t="n"/>
      <c r="K65" s="117" t="n"/>
      <c r="L65" s="104" t="n">
        <v>0</v>
      </c>
      <c r="M65" s="104" t="n">
        <v>0</v>
      </c>
    </row>
    <row r="66" ht="16" customHeight="1">
      <c r="A66" s="105" t="inlineStr">
        <is>
          <t>苦瓜酵素</t>
        </is>
      </c>
      <c r="B66" s="57" t="inlineStr">
        <is>
          <t>B0CPSRQRNB</t>
        </is>
      </c>
      <c r="C66" s="56" t="inlineStr">
        <is>
          <t>DAIKEN Bitter Melon 90,000 mg Equivalent</t>
        </is>
      </c>
      <c r="D66" s="58" t="inlineStr">
        <is>
          <t>W3</t>
        </is>
      </c>
      <c r="E66" s="59" t="n">
        <v>0</v>
      </c>
      <c r="F66" s="59" t="n">
        <v>0</v>
      </c>
      <c r="G66" s="16" t="n">
        <v>0</v>
      </c>
      <c r="H66" s="16" t="n">
        <v>0</v>
      </c>
      <c r="I66" s="16" t="n">
        <v>0</v>
      </c>
      <c r="J66" s="118" t="n"/>
      <c r="K66" s="36" t="n"/>
      <c r="L66" s="107" t="n">
        <v>0</v>
      </c>
      <c r="M66" s="107" t="n">
        <v>0</v>
      </c>
    </row>
    <row r="67" ht="16" customHeight="1">
      <c r="A67" s="108" t="inlineStr">
        <is>
          <t>苦瓜酵素</t>
        </is>
      </c>
      <c r="B67" s="64" t="inlineStr">
        <is>
          <t>B0CPSRQRNB</t>
        </is>
      </c>
      <c r="C67" s="63" t="inlineStr">
        <is>
          <t>DAIKEN Bitter Melon 90,000 mg Equivalent</t>
        </is>
      </c>
      <c r="D67" s="65" t="inlineStr">
        <is>
          <t>W4</t>
        </is>
      </c>
      <c r="E67" s="66" t="n">
        <v>0</v>
      </c>
      <c r="F67" s="66" t="n">
        <v>0</v>
      </c>
      <c r="G67" s="18" t="n">
        <v>0</v>
      </c>
      <c r="H67" s="18" t="n">
        <v>0</v>
      </c>
      <c r="I67" s="18" t="n">
        <v>0</v>
      </c>
      <c r="J67" s="119" t="n"/>
      <c r="K67" s="120" t="n"/>
      <c r="L67" s="110" t="n">
        <v>0</v>
      </c>
      <c r="M67" s="110" t="n">
        <v>0</v>
      </c>
    </row>
    <row r="68" ht="16" customHeight="1">
      <c r="A68" s="111" t="inlineStr">
        <is>
          <t>苦瓜酵素</t>
        </is>
      </c>
      <c r="B68" s="71" t="inlineStr">
        <is>
          <t>B0CPSRQRNB</t>
        </is>
      </c>
      <c r="C68" s="70" t="inlineStr">
        <is>
          <t>DAIKEN Bitter Melon 90,000 mg Equivalent</t>
        </is>
      </c>
      <c r="D68" s="72" t="inlineStr">
        <is>
          <t>W5</t>
        </is>
      </c>
      <c r="E68" s="73" t="n">
        <v>0</v>
      </c>
      <c r="F68" s="73" t="n">
        <v>0</v>
      </c>
      <c r="G68" s="20" t="n">
        <v>0</v>
      </c>
      <c r="H68" s="20" t="n">
        <v>0</v>
      </c>
      <c r="I68" s="20" t="n">
        <v>0</v>
      </c>
      <c r="J68" s="121" t="n"/>
      <c r="K68" s="122" t="n"/>
      <c r="L68" s="113" t="n">
        <v>0</v>
      </c>
      <c r="M68" s="113" t="n">
        <v>0</v>
      </c>
    </row>
    <row r="69" ht="16" customHeight="1">
      <c r="A69" s="99" t="inlineStr">
        <is>
          <t>葉黃素</t>
        </is>
      </c>
      <c r="B69" s="43" t="inlineStr">
        <is>
          <t>B0FH6BX4GQ</t>
        </is>
      </c>
      <c r="C69" s="42" t="inlineStr">
        <is>
          <t>葉黃素 · 30粒</t>
        </is>
      </c>
      <c r="D69" s="44" t="inlineStr">
        <is>
          <t>W1</t>
        </is>
      </c>
      <c r="E69" s="45" t="n">
        <v>95.95999999999999</v>
      </c>
      <c r="F69" s="45" t="n">
        <v>86.33</v>
      </c>
      <c r="G69" s="12" t="n">
        <v>4</v>
      </c>
      <c r="H69" s="12" t="n">
        <v>2</v>
      </c>
      <c r="I69" s="12" t="n">
        <v>2</v>
      </c>
      <c r="J69" s="100" t="n">
        <v>0.5</v>
      </c>
      <c r="K69" s="47" t="n">
        <v>89.9645685702376</v>
      </c>
      <c r="L69" s="101" t="n">
        <v>527.78</v>
      </c>
      <c r="M69" s="101" t="n">
        <v>22</v>
      </c>
    </row>
    <row r="70" ht="16" customHeight="1">
      <c r="A70" s="102" t="inlineStr">
        <is>
          <t>葉黃素</t>
        </is>
      </c>
      <c r="B70" s="50" t="inlineStr">
        <is>
          <t>B0FH6BX4GQ</t>
        </is>
      </c>
      <c r="C70" s="49" t="inlineStr">
        <is>
          <t>葉黃素 · 30粒</t>
        </is>
      </c>
      <c r="D70" s="51" t="inlineStr">
        <is>
          <t>W2</t>
        </is>
      </c>
      <c r="E70" s="52" t="n">
        <v>71.97</v>
      </c>
      <c r="F70" s="52" t="n">
        <v>70.98999999999999</v>
      </c>
      <c r="G70" s="14" t="n">
        <v>3</v>
      </c>
      <c r="H70" s="14" t="n">
        <v>3</v>
      </c>
      <c r="I70" s="14" t="n">
        <v>0</v>
      </c>
      <c r="J70" s="103" t="n">
        <v>1</v>
      </c>
      <c r="K70" s="54" t="n">
        <v>98.63832152285674</v>
      </c>
      <c r="L70" s="104" t="n">
        <v>527.78</v>
      </c>
      <c r="M70" s="104" t="n">
        <v>22</v>
      </c>
    </row>
    <row r="71" ht="16" customHeight="1">
      <c r="A71" s="105" t="inlineStr">
        <is>
          <t>葉黃素</t>
        </is>
      </c>
      <c r="B71" s="57" t="inlineStr">
        <is>
          <t>B0FH6BX4GQ</t>
        </is>
      </c>
      <c r="C71" s="56" t="inlineStr">
        <is>
          <t>葉黃素 · 30粒</t>
        </is>
      </c>
      <c r="D71" s="58" t="inlineStr">
        <is>
          <t>W3</t>
        </is>
      </c>
      <c r="E71" s="59" t="n">
        <v>23.99</v>
      </c>
      <c r="F71" s="59" t="n">
        <v>121.55</v>
      </c>
      <c r="G71" s="16" t="n">
        <v>1</v>
      </c>
      <c r="H71" s="16" t="n">
        <v>1</v>
      </c>
      <c r="I71" s="16" t="n">
        <v>0</v>
      </c>
      <c r="J71" s="106" t="n">
        <v>1</v>
      </c>
      <c r="K71" s="61" t="n">
        <v>506.6694456023343</v>
      </c>
      <c r="L71" s="107" t="n">
        <v>527.78</v>
      </c>
      <c r="M71" s="107" t="n">
        <v>22</v>
      </c>
    </row>
    <row r="72" ht="16" customHeight="1">
      <c r="A72" s="108" t="inlineStr">
        <is>
          <t>葉黃素</t>
        </is>
      </c>
      <c r="B72" s="64" t="inlineStr">
        <is>
          <t>B0FH6BX4GQ</t>
        </is>
      </c>
      <c r="C72" s="63" t="inlineStr">
        <is>
          <t>葉黃素 · 30粒</t>
        </is>
      </c>
      <c r="D72" s="65" t="inlineStr">
        <is>
          <t>W4</t>
        </is>
      </c>
      <c r="E72" s="66" t="n">
        <v>143.94</v>
      </c>
      <c r="F72" s="66" t="n">
        <v>239.74</v>
      </c>
      <c r="G72" s="18" t="n">
        <v>6</v>
      </c>
      <c r="H72" s="18" t="n">
        <v>6</v>
      </c>
      <c r="I72" s="18" t="n">
        <v>0</v>
      </c>
      <c r="J72" s="109" t="n">
        <v>1</v>
      </c>
      <c r="K72" s="68" t="n">
        <v>166.5555092399611</v>
      </c>
      <c r="L72" s="110" t="n">
        <v>527.78</v>
      </c>
      <c r="M72" s="110" t="n">
        <v>22</v>
      </c>
    </row>
    <row r="73" ht="16" customHeight="1">
      <c r="A73" s="111" t="inlineStr">
        <is>
          <t>葉黃素</t>
        </is>
      </c>
      <c r="B73" s="71" t="inlineStr">
        <is>
          <t>B0FH6BX4GQ</t>
        </is>
      </c>
      <c r="C73" s="70" t="inlineStr">
        <is>
          <t>葉黃素 · 30粒</t>
        </is>
      </c>
      <c r="D73" s="72" t="inlineStr">
        <is>
          <t>W5</t>
        </is>
      </c>
      <c r="E73" s="73" t="n">
        <v>191.92</v>
      </c>
      <c r="F73" s="73" t="n">
        <v>265</v>
      </c>
      <c r="G73" s="20" t="n">
        <v>8</v>
      </c>
      <c r="H73" s="20" t="n">
        <v>5</v>
      </c>
      <c r="I73" s="20" t="n">
        <v>3</v>
      </c>
      <c r="J73" s="112" t="n">
        <v>0.625</v>
      </c>
      <c r="K73" s="75" t="n">
        <v>138.0783659858274</v>
      </c>
      <c r="L73" s="113" t="n">
        <v>527.78</v>
      </c>
      <c r="M73" s="113" t="n">
        <v>22</v>
      </c>
    </row>
    <row r="74" ht="16" customHeight="1">
      <c r="A74" s="99" t="inlineStr">
        <is>
          <t>葉黃素</t>
        </is>
      </c>
      <c r="B74" s="43" t="inlineStr">
        <is>
          <t>B0FH6DDW63</t>
        </is>
      </c>
      <c r="C74" s="42" t="inlineStr">
        <is>
          <t>葉黃素 · 30粒×2</t>
        </is>
      </c>
      <c r="D74" s="44" t="inlineStr">
        <is>
          <t>W1</t>
        </is>
      </c>
      <c r="E74" s="45" t="n">
        <v>44.09</v>
      </c>
      <c r="F74" s="45" t="n">
        <v>9.02</v>
      </c>
      <c r="G74" s="12" t="n">
        <v>1</v>
      </c>
      <c r="H74" s="12" t="n">
        <v>1</v>
      </c>
      <c r="I74" s="12" t="n">
        <v>0</v>
      </c>
      <c r="J74" s="100" t="n">
        <v>1</v>
      </c>
      <c r="K74" s="47" t="n">
        <v>20.45815377636652</v>
      </c>
      <c r="L74" s="101" t="n">
        <v>440.9</v>
      </c>
      <c r="M74" s="101" t="n">
        <v>10</v>
      </c>
    </row>
    <row r="75" ht="16" customHeight="1">
      <c r="A75" s="102" t="inlineStr">
        <is>
          <t>葉黃素</t>
        </is>
      </c>
      <c r="B75" s="50" t="inlineStr">
        <is>
          <t>B0FH6DDW63</t>
        </is>
      </c>
      <c r="C75" s="49" t="inlineStr">
        <is>
          <t>葉黃素 · 30粒×2</t>
        </is>
      </c>
      <c r="D75" s="51" t="inlineStr">
        <is>
          <t>W2</t>
        </is>
      </c>
      <c r="E75" s="52" t="n">
        <v>88.18000000000001</v>
      </c>
      <c r="F75" s="52" t="n">
        <v>14.88</v>
      </c>
      <c r="G75" s="14" t="n">
        <v>2</v>
      </c>
      <c r="H75" s="14" t="n">
        <v>2</v>
      </c>
      <c r="I75" s="14" t="n">
        <v>0</v>
      </c>
      <c r="J75" s="103" t="n">
        <v>1</v>
      </c>
      <c r="K75" s="54" t="n">
        <v>16.87457473349966</v>
      </c>
      <c r="L75" s="104" t="n">
        <v>440.9</v>
      </c>
      <c r="M75" s="104" t="n">
        <v>10</v>
      </c>
    </row>
    <row r="76" ht="16" customHeight="1">
      <c r="A76" s="105" t="inlineStr">
        <is>
          <t>葉黃素</t>
        </is>
      </c>
      <c r="B76" s="57" t="inlineStr">
        <is>
          <t>B0FH6DDW63</t>
        </is>
      </c>
      <c r="C76" s="56" t="inlineStr">
        <is>
          <t>葉黃素 · 30粒×2</t>
        </is>
      </c>
      <c r="D76" s="58" t="inlineStr">
        <is>
          <t>W3</t>
        </is>
      </c>
      <c r="E76" s="59" t="n">
        <v>0</v>
      </c>
      <c r="F76" s="59" t="n">
        <v>4.45</v>
      </c>
      <c r="G76" s="16" t="n">
        <v>0</v>
      </c>
      <c r="H76" s="16" t="n">
        <v>0</v>
      </c>
      <c r="I76" s="16" t="n">
        <v>0</v>
      </c>
      <c r="J76" s="118" t="n"/>
      <c r="K76" s="36" t="n"/>
      <c r="L76" s="107" t="n">
        <v>440.9</v>
      </c>
      <c r="M76" s="107" t="n">
        <v>10</v>
      </c>
    </row>
    <row r="77" ht="16" customHeight="1">
      <c r="A77" s="108" t="inlineStr">
        <is>
          <t>葉黃素</t>
        </is>
      </c>
      <c r="B77" s="64" t="inlineStr">
        <is>
          <t>B0FH6DDW63</t>
        </is>
      </c>
      <c r="C77" s="63" t="inlineStr">
        <is>
          <t>葉黃素 · 30粒×2</t>
        </is>
      </c>
      <c r="D77" s="65" t="inlineStr">
        <is>
          <t>W4</t>
        </is>
      </c>
      <c r="E77" s="66" t="n">
        <v>132.27</v>
      </c>
      <c r="F77" s="66" t="n">
        <v>12.37</v>
      </c>
      <c r="G77" s="18" t="n">
        <v>3</v>
      </c>
      <c r="H77" s="18" t="n">
        <v>3</v>
      </c>
      <c r="I77" s="18" t="n">
        <v>0</v>
      </c>
      <c r="J77" s="109" t="n">
        <v>1</v>
      </c>
      <c r="K77" s="68" t="n">
        <v>9.352082860814999</v>
      </c>
      <c r="L77" s="110" t="n">
        <v>440.9</v>
      </c>
      <c r="M77" s="110" t="n">
        <v>10</v>
      </c>
    </row>
    <row r="78" ht="16" customHeight="1">
      <c r="A78" s="111" t="inlineStr">
        <is>
          <t>葉黃素</t>
        </is>
      </c>
      <c r="B78" s="71" t="inlineStr">
        <is>
          <t>B0FH6DDW63</t>
        </is>
      </c>
      <c r="C78" s="70" t="inlineStr">
        <is>
          <t>葉黃素 · 30粒×2</t>
        </is>
      </c>
      <c r="D78" s="72" t="inlineStr">
        <is>
          <t>W5</t>
        </is>
      </c>
      <c r="E78" s="73" t="n">
        <v>176.36</v>
      </c>
      <c r="F78" s="73" t="n">
        <v>6.64</v>
      </c>
      <c r="G78" s="20" t="n">
        <v>4</v>
      </c>
      <c r="H78" s="20" t="n">
        <v>4</v>
      </c>
      <c r="I78" s="20" t="n">
        <v>0</v>
      </c>
      <c r="J78" s="112" t="n">
        <v>1</v>
      </c>
      <c r="K78" s="75" t="n">
        <v>3.765026083012021</v>
      </c>
      <c r="L78" s="113" t="n">
        <v>440.9</v>
      </c>
      <c r="M78" s="113" t="n">
        <v>10</v>
      </c>
    </row>
    <row r="79" ht="16" customHeight="1">
      <c r="A79" s="99" t="inlineStr">
        <is>
          <t>葉黃素</t>
        </is>
      </c>
      <c r="B79" s="43" t="inlineStr">
        <is>
          <t>B09Y92RP3R</t>
        </is>
      </c>
      <c r="C79" s="42" t="inlineStr">
        <is>
          <t>DAIKEN Lutein 10 mg Zeaxanthin 2 mg from</t>
        </is>
      </c>
      <c r="D79" s="44" t="inlineStr">
        <is>
          <t>W1</t>
        </is>
      </c>
      <c r="E79" s="45" t="n">
        <v>0</v>
      </c>
      <c r="F79" s="45" t="n">
        <v>0</v>
      </c>
      <c r="G79" s="12" t="n">
        <v>0</v>
      </c>
      <c r="H79" s="12" t="n">
        <v>0</v>
      </c>
      <c r="I79" s="12" t="n">
        <v>0</v>
      </c>
      <c r="J79" s="114" t="n"/>
      <c r="K79" s="115" t="n"/>
      <c r="L79" s="101" t="n">
        <v>0</v>
      </c>
      <c r="M79" s="101" t="n">
        <v>0</v>
      </c>
    </row>
    <row r="80" ht="16" customHeight="1">
      <c r="A80" s="102" t="inlineStr">
        <is>
          <t>葉黃素</t>
        </is>
      </c>
      <c r="B80" s="50" t="inlineStr">
        <is>
          <t>B09Y92RP3R</t>
        </is>
      </c>
      <c r="C80" s="49" t="inlineStr">
        <is>
          <t>DAIKEN Lutein 10 mg Zeaxanthin 2 mg from</t>
        </is>
      </c>
      <c r="D80" s="51" t="inlineStr">
        <is>
          <t>W2</t>
        </is>
      </c>
      <c r="E80" s="52" t="n">
        <v>0</v>
      </c>
      <c r="F80" s="52" t="n">
        <v>0</v>
      </c>
      <c r="G80" s="14" t="n">
        <v>0</v>
      </c>
      <c r="H80" s="14" t="n">
        <v>0</v>
      </c>
      <c r="I80" s="14" t="n">
        <v>0</v>
      </c>
      <c r="J80" s="116" t="n"/>
      <c r="K80" s="117" t="n"/>
      <c r="L80" s="104" t="n">
        <v>0</v>
      </c>
      <c r="M80" s="104" t="n">
        <v>0</v>
      </c>
    </row>
    <row r="81" ht="16" customHeight="1">
      <c r="A81" s="105" t="inlineStr">
        <is>
          <t>葉黃素</t>
        </is>
      </c>
      <c r="B81" s="57" t="inlineStr">
        <is>
          <t>B09Y92RP3R</t>
        </is>
      </c>
      <c r="C81" s="56" t="inlineStr">
        <is>
          <t>DAIKEN Lutein 10 mg Zeaxanthin 2 mg from</t>
        </is>
      </c>
      <c r="D81" s="58" t="inlineStr">
        <is>
          <t>W3</t>
        </is>
      </c>
      <c r="E81" s="59" t="n">
        <v>0</v>
      </c>
      <c r="F81" s="59" t="n">
        <v>0</v>
      </c>
      <c r="G81" s="16" t="n">
        <v>0</v>
      </c>
      <c r="H81" s="16" t="n">
        <v>0</v>
      </c>
      <c r="I81" s="16" t="n">
        <v>0</v>
      </c>
      <c r="J81" s="118" t="n"/>
      <c r="K81" s="36" t="n"/>
      <c r="L81" s="107" t="n">
        <v>0</v>
      </c>
      <c r="M81" s="107" t="n">
        <v>0</v>
      </c>
    </row>
    <row r="82" ht="16" customHeight="1">
      <c r="A82" s="108" t="inlineStr">
        <is>
          <t>葉黃素</t>
        </is>
      </c>
      <c r="B82" s="64" t="inlineStr">
        <is>
          <t>B09Y92RP3R</t>
        </is>
      </c>
      <c r="C82" s="63" t="inlineStr">
        <is>
          <t>DAIKEN Lutein 10 mg Zeaxanthin 2 mg from</t>
        </is>
      </c>
      <c r="D82" s="65" t="inlineStr">
        <is>
          <t>W4</t>
        </is>
      </c>
      <c r="E82" s="66" t="n">
        <v>0</v>
      </c>
      <c r="F82" s="66" t="n">
        <v>0</v>
      </c>
      <c r="G82" s="18" t="n">
        <v>0</v>
      </c>
      <c r="H82" s="18" t="n">
        <v>0</v>
      </c>
      <c r="I82" s="18" t="n">
        <v>0</v>
      </c>
      <c r="J82" s="119" t="n"/>
      <c r="K82" s="120" t="n"/>
      <c r="L82" s="110" t="n">
        <v>0</v>
      </c>
      <c r="M82" s="110" t="n">
        <v>0</v>
      </c>
    </row>
    <row r="83" ht="16" customHeight="1">
      <c r="A83" s="111" t="inlineStr">
        <is>
          <t>葉黃素</t>
        </is>
      </c>
      <c r="B83" s="71" t="inlineStr">
        <is>
          <t>B09Y92RP3R</t>
        </is>
      </c>
      <c r="C83" s="70" t="inlineStr">
        <is>
          <t>DAIKEN Lutein 10 mg Zeaxanthin 2 mg from</t>
        </is>
      </c>
      <c r="D83" s="72" t="inlineStr">
        <is>
          <t>W5</t>
        </is>
      </c>
      <c r="E83" s="73" t="n">
        <v>0</v>
      </c>
      <c r="F83" s="73" t="n">
        <v>0</v>
      </c>
      <c r="G83" s="20" t="n">
        <v>0</v>
      </c>
      <c r="H83" s="20" t="n">
        <v>0</v>
      </c>
      <c r="I83" s="20" t="n">
        <v>0</v>
      </c>
      <c r="J83" s="121" t="n"/>
      <c r="K83" s="122" t="n"/>
      <c r="L83" s="113" t="n">
        <v>0</v>
      </c>
      <c r="M83" s="113" t="n">
        <v>0</v>
      </c>
    </row>
    <row r="84" ht="16" customHeight="1">
      <c r="A84" s="99" t="inlineStr">
        <is>
          <t>葉黃素</t>
        </is>
      </c>
      <c r="B84" s="43" t="inlineStr">
        <is>
          <t>B0C23JH5D1</t>
        </is>
      </c>
      <c r="C84" s="42" t="inlineStr">
        <is>
          <t>DAIKEN Lutein 10 mg Zeaxanthin 2 mg from</t>
        </is>
      </c>
      <c r="D84" s="44" t="inlineStr">
        <is>
          <t>W1</t>
        </is>
      </c>
      <c r="E84" s="45" t="n">
        <v>0</v>
      </c>
      <c r="F84" s="45" t="n">
        <v>0</v>
      </c>
      <c r="G84" s="12" t="n">
        <v>0</v>
      </c>
      <c r="H84" s="12" t="n">
        <v>0</v>
      </c>
      <c r="I84" s="12" t="n">
        <v>0</v>
      </c>
      <c r="J84" s="114" t="n"/>
      <c r="K84" s="115" t="n"/>
      <c r="L84" s="101" t="n">
        <v>0</v>
      </c>
      <c r="M84" s="101" t="n">
        <v>0</v>
      </c>
    </row>
    <row r="85" ht="16" customHeight="1">
      <c r="A85" s="102" t="inlineStr">
        <is>
          <t>葉黃素</t>
        </is>
      </c>
      <c r="B85" s="50" t="inlineStr">
        <is>
          <t>B0C23JH5D1</t>
        </is>
      </c>
      <c r="C85" s="49" t="inlineStr">
        <is>
          <t>DAIKEN Lutein 10 mg Zeaxanthin 2 mg from</t>
        </is>
      </c>
      <c r="D85" s="51" t="inlineStr">
        <is>
          <t>W2</t>
        </is>
      </c>
      <c r="E85" s="52" t="n">
        <v>0</v>
      </c>
      <c r="F85" s="52" t="n">
        <v>0</v>
      </c>
      <c r="G85" s="14" t="n">
        <v>0</v>
      </c>
      <c r="H85" s="14" t="n">
        <v>0</v>
      </c>
      <c r="I85" s="14" t="n">
        <v>0</v>
      </c>
      <c r="J85" s="116" t="n"/>
      <c r="K85" s="117" t="n"/>
      <c r="L85" s="104" t="n">
        <v>0</v>
      </c>
      <c r="M85" s="104" t="n">
        <v>0</v>
      </c>
    </row>
    <row r="86" ht="16" customHeight="1">
      <c r="A86" s="105" t="inlineStr">
        <is>
          <t>葉黃素</t>
        </is>
      </c>
      <c r="B86" s="57" t="inlineStr">
        <is>
          <t>B0C23JH5D1</t>
        </is>
      </c>
      <c r="C86" s="56" t="inlineStr">
        <is>
          <t>DAIKEN Lutein 10 mg Zeaxanthin 2 mg from</t>
        </is>
      </c>
      <c r="D86" s="58" t="inlineStr">
        <is>
          <t>W3</t>
        </is>
      </c>
      <c r="E86" s="59" t="n">
        <v>0</v>
      </c>
      <c r="F86" s="59" t="n">
        <v>0</v>
      </c>
      <c r="G86" s="16" t="n">
        <v>0</v>
      </c>
      <c r="H86" s="16" t="n">
        <v>0</v>
      </c>
      <c r="I86" s="16" t="n">
        <v>0</v>
      </c>
      <c r="J86" s="118" t="n"/>
      <c r="K86" s="36" t="n"/>
      <c r="L86" s="107" t="n">
        <v>0</v>
      </c>
      <c r="M86" s="107" t="n">
        <v>0</v>
      </c>
    </row>
    <row r="87" ht="16" customHeight="1">
      <c r="A87" s="108" t="inlineStr">
        <is>
          <t>葉黃素</t>
        </is>
      </c>
      <c r="B87" s="64" t="inlineStr">
        <is>
          <t>B0C23JH5D1</t>
        </is>
      </c>
      <c r="C87" s="63" t="inlineStr">
        <is>
          <t>DAIKEN Lutein 10 mg Zeaxanthin 2 mg from</t>
        </is>
      </c>
      <c r="D87" s="65" t="inlineStr">
        <is>
          <t>W4</t>
        </is>
      </c>
      <c r="E87" s="66" t="n">
        <v>0</v>
      </c>
      <c r="F87" s="66" t="n">
        <v>0</v>
      </c>
      <c r="G87" s="18" t="n">
        <v>0</v>
      </c>
      <c r="H87" s="18" t="n">
        <v>0</v>
      </c>
      <c r="I87" s="18" t="n">
        <v>0</v>
      </c>
      <c r="J87" s="119" t="n"/>
      <c r="K87" s="120" t="n"/>
      <c r="L87" s="110" t="n">
        <v>0</v>
      </c>
      <c r="M87" s="110" t="n">
        <v>0</v>
      </c>
    </row>
    <row r="88" ht="16" customHeight="1">
      <c r="A88" s="111" t="inlineStr">
        <is>
          <t>葉黃素</t>
        </is>
      </c>
      <c r="B88" s="71" t="inlineStr">
        <is>
          <t>B0C23JH5D1</t>
        </is>
      </c>
      <c r="C88" s="70" t="inlineStr">
        <is>
          <t>DAIKEN Lutein 10 mg Zeaxanthin 2 mg from</t>
        </is>
      </c>
      <c r="D88" s="72" t="inlineStr">
        <is>
          <t>W5</t>
        </is>
      </c>
      <c r="E88" s="73" t="n">
        <v>0</v>
      </c>
      <c r="F88" s="73" t="n">
        <v>0</v>
      </c>
      <c r="G88" s="20" t="n">
        <v>0</v>
      </c>
      <c r="H88" s="20" t="n">
        <v>0</v>
      </c>
      <c r="I88" s="20" t="n">
        <v>0</v>
      </c>
      <c r="J88" s="121" t="n"/>
      <c r="K88" s="122" t="n"/>
      <c r="L88" s="113" t="n">
        <v>0</v>
      </c>
      <c r="M88" s="113" t="n">
        <v>0</v>
      </c>
    </row>
    <row r="89" ht="16" customHeight="1">
      <c r="A89" s="99" t="inlineStr">
        <is>
          <t>綜合維生素</t>
        </is>
      </c>
      <c r="B89" s="43" t="inlineStr">
        <is>
          <t>B0DTTT9WTN</t>
        </is>
      </c>
      <c r="C89" s="42" t="inlineStr">
        <is>
          <t>綜合維生素 · 60粒×2</t>
        </is>
      </c>
      <c r="D89" s="44" t="inlineStr">
        <is>
          <t>W1</t>
        </is>
      </c>
      <c r="E89" s="45" t="n">
        <v>58.47</v>
      </c>
      <c r="F89" s="45" t="n">
        <v>5.6</v>
      </c>
      <c r="G89" s="12" t="n">
        <v>3</v>
      </c>
      <c r="H89" s="12" t="n">
        <v>3</v>
      </c>
      <c r="I89" s="12" t="n">
        <v>0</v>
      </c>
      <c r="J89" s="100" t="n">
        <v>1</v>
      </c>
      <c r="K89" s="47" t="n">
        <v>9.577561142466221</v>
      </c>
      <c r="L89" s="101" t="n">
        <v>214.39</v>
      </c>
      <c r="M89" s="101" t="n">
        <v>11</v>
      </c>
    </row>
    <row r="90" ht="16" customHeight="1">
      <c r="A90" s="102" t="inlineStr">
        <is>
          <t>綜合維生素</t>
        </is>
      </c>
      <c r="B90" s="50" t="inlineStr">
        <is>
          <t>B0DTTT9WTN</t>
        </is>
      </c>
      <c r="C90" s="49" t="inlineStr">
        <is>
          <t>綜合維生素 · 60粒×2</t>
        </is>
      </c>
      <c r="D90" s="51" t="inlineStr">
        <is>
          <t>W2</t>
        </is>
      </c>
      <c r="E90" s="52" t="n">
        <v>58.47</v>
      </c>
      <c r="F90" s="52" t="n">
        <v>3.89</v>
      </c>
      <c r="G90" s="14" t="n">
        <v>3</v>
      </c>
      <c r="H90" s="14" t="n">
        <v>3</v>
      </c>
      <c r="I90" s="14" t="n">
        <v>0</v>
      </c>
      <c r="J90" s="103" t="n">
        <v>1</v>
      </c>
      <c r="K90" s="54" t="n">
        <v>6.652984436463144</v>
      </c>
      <c r="L90" s="104" t="n">
        <v>214.39</v>
      </c>
      <c r="M90" s="104" t="n">
        <v>11</v>
      </c>
    </row>
    <row r="91" ht="16" customHeight="1">
      <c r="A91" s="105" t="inlineStr">
        <is>
          <t>綜合維生素</t>
        </is>
      </c>
      <c r="B91" s="57" t="inlineStr">
        <is>
          <t>B0DTTT9WTN</t>
        </is>
      </c>
      <c r="C91" s="56" t="inlineStr">
        <is>
          <t>綜合維生素 · 60粒×2</t>
        </is>
      </c>
      <c r="D91" s="58" t="inlineStr">
        <is>
          <t>W3</t>
        </is>
      </c>
      <c r="E91" s="59" t="n">
        <v>0</v>
      </c>
      <c r="F91" s="59" t="n">
        <v>1.58</v>
      </c>
      <c r="G91" s="16" t="n">
        <v>0</v>
      </c>
      <c r="H91" s="16" t="n">
        <v>0</v>
      </c>
      <c r="I91" s="16" t="n">
        <v>0</v>
      </c>
      <c r="J91" s="118" t="n"/>
      <c r="K91" s="36" t="n"/>
      <c r="L91" s="107" t="n">
        <v>214.39</v>
      </c>
      <c r="M91" s="107" t="n">
        <v>11</v>
      </c>
    </row>
    <row r="92" ht="16" customHeight="1">
      <c r="A92" s="108" t="inlineStr">
        <is>
          <t>綜合維生素</t>
        </is>
      </c>
      <c r="B92" s="64" t="inlineStr">
        <is>
          <t>B0DTTT9WTN</t>
        </is>
      </c>
      <c r="C92" s="63" t="inlineStr">
        <is>
          <t>綜合維生素 · 60粒×2</t>
        </is>
      </c>
      <c r="D92" s="65" t="inlineStr">
        <is>
          <t>W4</t>
        </is>
      </c>
      <c r="E92" s="66" t="n">
        <v>38.98</v>
      </c>
      <c r="F92" s="66" t="n">
        <v>2.69</v>
      </c>
      <c r="G92" s="18" t="n">
        <v>2</v>
      </c>
      <c r="H92" s="18" t="n">
        <v>2</v>
      </c>
      <c r="I92" s="18" t="n">
        <v>0</v>
      </c>
      <c r="J92" s="109" t="n">
        <v>1</v>
      </c>
      <c r="K92" s="68" t="n">
        <v>6.900974858902001</v>
      </c>
      <c r="L92" s="110" t="n">
        <v>214.39</v>
      </c>
      <c r="M92" s="110" t="n">
        <v>11</v>
      </c>
    </row>
    <row r="93" ht="16" customHeight="1">
      <c r="A93" s="111" t="inlineStr">
        <is>
          <t>綜合維生素</t>
        </is>
      </c>
      <c r="B93" s="71" t="inlineStr">
        <is>
          <t>B0DTTT9WTN</t>
        </is>
      </c>
      <c r="C93" s="70" t="inlineStr">
        <is>
          <t>綜合維生素 · 60粒×2</t>
        </is>
      </c>
      <c r="D93" s="72" t="inlineStr">
        <is>
          <t>W5</t>
        </is>
      </c>
      <c r="E93" s="73" t="n">
        <v>58.47</v>
      </c>
      <c r="F93" s="73" t="n">
        <v>0</v>
      </c>
      <c r="G93" s="20" t="n">
        <v>3</v>
      </c>
      <c r="H93" s="20" t="n">
        <v>3</v>
      </c>
      <c r="I93" s="20" t="n">
        <v>0</v>
      </c>
      <c r="J93" s="112" t="n">
        <v>1</v>
      </c>
      <c r="K93" s="122" t="n"/>
      <c r="L93" s="113" t="n">
        <v>214.39</v>
      </c>
      <c r="M93" s="113" t="n">
        <v>11</v>
      </c>
    </row>
    <row r="94" ht="16" customHeight="1">
      <c r="A94" s="99" t="inlineStr">
        <is>
          <t>綜合維生素</t>
        </is>
      </c>
      <c r="B94" s="43" t="inlineStr">
        <is>
          <t>B0DTTVGD2F</t>
        </is>
      </c>
      <c r="C94" s="42" t="inlineStr">
        <is>
          <t>綜合維生素 · 60粒</t>
        </is>
      </c>
      <c r="D94" s="44" t="inlineStr">
        <is>
          <t>W1</t>
        </is>
      </c>
      <c r="E94" s="45" t="n">
        <v>27.98</v>
      </c>
      <c r="F94" s="45" t="n">
        <v>50.9</v>
      </c>
      <c r="G94" s="12" t="n">
        <v>2</v>
      </c>
      <c r="H94" s="12" t="n">
        <v>2</v>
      </c>
      <c r="I94" s="12" t="n">
        <v>0</v>
      </c>
      <c r="J94" s="100" t="n">
        <v>1</v>
      </c>
      <c r="K94" s="47" t="n">
        <v>181.915654038599</v>
      </c>
      <c r="L94" s="101" t="n">
        <v>69.95</v>
      </c>
      <c r="M94" s="101" t="n">
        <v>5</v>
      </c>
    </row>
    <row r="95" ht="16" customHeight="1">
      <c r="A95" s="102" t="inlineStr">
        <is>
          <t>綜合維生素</t>
        </is>
      </c>
      <c r="B95" s="50" t="inlineStr">
        <is>
          <t>B0DTTVGD2F</t>
        </is>
      </c>
      <c r="C95" s="49" t="inlineStr">
        <is>
          <t>綜合維生素 · 60粒</t>
        </is>
      </c>
      <c r="D95" s="51" t="inlineStr">
        <is>
          <t>W2</t>
        </is>
      </c>
      <c r="E95" s="52" t="n">
        <v>27.98</v>
      </c>
      <c r="F95" s="52" t="n">
        <v>27.51</v>
      </c>
      <c r="G95" s="14" t="n">
        <v>2</v>
      </c>
      <c r="H95" s="14" t="n">
        <v>2</v>
      </c>
      <c r="I95" s="14" t="n">
        <v>0</v>
      </c>
      <c r="J95" s="103" t="n">
        <v>1</v>
      </c>
      <c r="K95" s="54" t="n">
        <v>98.32022873481058</v>
      </c>
      <c r="L95" s="104" t="n">
        <v>69.95</v>
      </c>
      <c r="M95" s="104" t="n">
        <v>5</v>
      </c>
    </row>
    <row r="96" ht="16" customHeight="1">
      <c r="A96" s="105" t="inlineStr">
        <is>
          <t>綜合維生素</t>
        </is>
      </c>
      <c r="B96" s="57" t="inlineStr">
        <is>
          <t>B0DTTVGD2F</t>
        </is>
      </c>
      <c r="C96" s="56" t="inlineStr">
        <is>
          <t>綜合維生素 · 60粒</t>
        </is>
      </c>
      <c r="D96" s="58" t="inlineStr">
        <is>
          <t>W3</t>
        </is>
      </c>
      <c r="E96" s="59" t="n">
        <v>0</v>
      </c>
      <c r="F96" s="59" t="n">
        <v>16.82</v>
      </c>
      <c r="G96" s="16" t="n">
        <v>0</v>
      </c>
      <c r="H96" s="16" t="n">
        <v>0</v>
      </c>
      <c r="I96" s="16" t="n">
        <v>0</v>
      </c>
      <c r="J96" s="118" t="n"/>
      <c r="K96" s="36" t="n"/>
      <c r="L96" s="107" t="n">
        <v>69.95</v>
      </c>
      <c r="M96" s="107" t="n">
        <v>5</v>
      </c>
    </row>
    <row r="97" ht="16" customHeight="1">
      <c r="A97" s="108" t="inlineStr">
        <is>
          <t>綜合維生素</t>
        </is>
      </c>
      <c r="B97" s="64" t="inlineStr">
        <is>
          <t>B0DTTVGD2F</t>
        </is>
      </c>
      <c r="C97" s="63" t="inlineStr">
        <is>
          <t>綜合維生素 · 60粒</t>
        </is>
      </c>
      <c r="D97" s="65" t="inlineStr">
        <is>
          <t>W4</t>
        </is>
      </c>
      <c r="E97" s="66" t="n">
        <v>13.99</v>
      </c>
      <c r="F97" s="66" t="n">
        <v>5.35</v>
      </c>
      <c r="G97" s="18" t="n">
        <v>1</v>
      </c>
      <c r="H97" s="18" t="n">
        <v>1</v>
      </c>
      <c r="I97" s="18" t="n">
        <v>0</v>
      </c>
      <c r="J97" s="109" t="n">
        <v>1</v>
      </c>
      <c r="K97" s="68" t="n">
        <v>38.24160114367405</v>
      </c>
      <c r="L97" s="110" t="n">
        <v>69.95</v>
      </c>
      <c r="M97" s="110" t="n">
        <v>5</v>
      </c>
    </row>
    <row r="98" ht="16" customHeight="1">
      <c r="A98" s="111" t="inlineStr">
        <is>
          <t>綜合維生素</t>
        </is>
      </c>
      <c r="B98" s="71" t="inlineStr">
        <is>
          <t>B0DTTVGD2F</t>
        </is>
      </c>
      <c r="C98" s="70" t="inlineStr">
        <is>
          <t>綜合維生素 · 60粒</t>
        </is>
      </c>
      <c r="D98" s="72" t="inlineStr">
        <is>
          <t>W5</t>
        </is>
      </c>
      <c r="E98" s="73" t="n">
        <v>0</v>
      </c>
      <c r="F98" s="73" t="n">
        <v>61.9</v>
      </c>
      <c r="G98" s="20" t="n">
        <v>0</v>
      </c>
      <c r="H98" s="20" t="n">
        <v>0</v>
      </c>
      <c r="I98" s="20" t="n">
        <v>0</v>
      </c>
      <c r="J98" s="121" t="n"/>
      <c r="K98" s="122" t="n"/>
      <c r="L98" s="113" t="n">
        <v>69.95</v>
      </c>
      <c r="M98" s="113" t="n">
        <v>5</v>
      </c>
    </row>
    <row r="99" ht="16" customHeight="1">
      <c r="A99" s="99" t="inlineStr">
        <is>
          <t>綜合維生素</t>
        </is>
      </c>
      <c r="B99" s="43" t="inlineStr">
        <is>
          <t>B09Y932JVT</t>
        </is>
      </c>
      <c r="C99" s="42" t="inlineStr">
        <is>
          <t>DAIKEN 27 Full Spectrum Mini Multivitami</t>
        </is>
      </c>
      <c r="D99" s="44" t="inlineStr">
        <is>
          <t>W1</t>
        </is>
      </c>
      <c r="E99" s="45" t="n">
        <v>0</v>
      </c>
      <c r="F99" s="45" t="n">
        <v>0</v>
      </c>
      <c r="G99" s="12" t="n">
        <v>0</v>
      </c>
      <c r="H99" s="12" t="n">
        <v>0</v>
      </c>
      <c r="I99" s="12" t="n">
        <v>0</v>
      </c>
      <c r="J99" s="114" t="n"/>
      <c r="K99" s="115" t="n"/>
      <c r="L99" s="101" t="n">
        <v>0</v>
      </c>
      <c r="M99" s="101" t="n">
        <v>0</v>
      </c>
    </row>
    <row r="100" ht="16" customHeight="1">
      <c r="A100" s="102" t="inlineStr">
        <is>
          <t>綜合維生素</t>
        </is>
      </c>
      <c r="B100" s="50" t="inlineStr">
        <is>
          <t>B09Y932JVT</t>
        </is>
      </c>
      <c r="C100" s="49" t="inlineStr">
        <is>
          <t>DAIKEN 27 Full Spectrum Mini Multivitami</t>
        </is>
      </c>
      <c r="D100" s="51" t="inlineStr">
        <is>
          <t>W2</t>
        </is>
      </c>
      <c r="E100" s="52" t="n">
        <v>0</v>
      </c>
      <c r="F100" s="52" t="n">
        <v>0</v>
      </c>
      <c r="G100" s="14" t="n">
        <v>0</v>
      </c>
      <c r="H100" s="14" t="n">
        <v>0</v>
      </c>
      <c r="I100" s="14" t="n">
        <v>0</v>
      </c>
      <c r="J100" s="116" t="n"/>
      <c r="K100" s="117" t="n"/>
      <c r="L100" s="104" t="n">
        <v>0</v>
      </c>
      <c r="M100" s="104" t="n">
        <v>0</v>
      </c>
    </row>
    <row r="101" ht="16" customHeight="1">
      <c r="A101" s="105" t="inlineStr">
        <is>
          <t>綜合維生素</t>
        </is>
      </c>
      <c r="B101" s="57" t="inlineStr">
        <is>
          <t>B09Y932JVT</t>
        </is>
      </c>
      <c r="C101" s="56" t="inlineStr">
        <is>
          <t>DAIKEN 27 Full Spectrum Mini Multivitami</t>
        </is>
      </c>
      <c r="D101" s="58" t="inlineStr">
        <is>
          <t>W3</t>
        </is>
      </c>
      <c r="E101" s="59" t="n">
        <v>0</v>
      </c>
      <c r="F101" s="59" t="n">
        <v>0</v>
      </c>
      <c r="G101" s="16" t="n">
        <v>0</v>
      </c>
      <c r="H101" s="16" t="n">
        <v>0</v>
      </c>
      <c r="I101" s="16" t="n">
        <v>0</v>
      </c>
      <c r="J101" s="118" t="n"/>
      <c r="K101" s="36" t="n"/>
      <c r="L101" s="107" t="n">
        <v>0</v>
      </c>
      <c r="M101" s="107" t="n">
        <v>0</v>
      </c>
    </row>
    <row r="102" ht="16" customHeight="1">
      <c r="A102" s="108" t="inlineStr">
        <is>
          <t>綜合維生素</t>
        </is>
      </c>
      <c r="B102" s="64" t="inlineStr">
        <is>
          <t>B09Y932JVT</t>
        </is>
      </c>
      <c r="C102" s="63" t="inlineStr">
        <is>
          <t>DAIKEN 27 Full Spectrum Mini Multivitami</t>
        </is>
      </c>
      <c r="D102" s="65" t="inlineStr">
        <is>
          <t>W4</t>
        </is>
      </c>
      <c r="E102" s="66" t="n">
        <v>0</v>
      </c>
      <c r="F102" s="66" t="n">
        <v>0</v>
      </c>
      <c r="G102" s="18" t="n">
        <v>0</v>
      </c>
      <c r="H102" s="18" t="n">
        <v>0</v>
      </c>
      <c r="I102" s="18" t="n">
        <v>0</v>
      </c>
      <c r="J102" s="119" t="n"/>
      <c r="K102" s="120" t="n"/>
      <c r="L102" s="110" t="n">
        <v>0</v>
      </c>
      <c r="M102" s="110" t="n">
        <v>0</v>
      </c>
    </row>
    <row r="103" ht="16" customHeight="1">
      <c r="A103" s="111" t="inlineStr">
        <is>
          <t>綜合維生素</t>
        </is>
      </c>
      <c r="B103" s="71" t="inlineStr">
        <is>
          <t>B09Y932JVT</t>
        </is>
      </c>
      <c r="C103" s="70" t="inlineStr">
        <is>
          <t>DAIKEN 27 Full Spectrum Mini Multivitami</t>
        </is>
      </c>
      <c r="D103" s="72" t="inlineStr">
        <is>
          <t>W5</t>
        </is>
      </c>
      <c r="E103" s="73" t="n">
        <v>0</v>
      </c>
      <c r="F103" s="73" t="n">
        <v>0</v>
      </c>
      <c r="G103" s="20" t="n">
        <v>0</v>
      </c>
      <c r="H103" s="20" t="n">
        <v>0</v>
      </c>
      <c r="I103" s="20" t="n">
        <v>0</v>
      </c>
      <c r="J103" s="121" t="n"/>
      <c r="K103" s="122" t="n"/>
      <c r="L103" s="113" t="n">
        <v>0</v>
      </c>
      <c r="M103" s="113" t="n">
        <v>0</v>
      </c>
    </row>
    <row r="104" ht="16" customHeight="1">
      <c r="A104" s="99" t="inlineStr">
        <is>
          <t>綜合維生素</t>
        </is>
      </c>
      <c r="B104" s="43" t="inlineStr">
        <is>
          <t>B0BRMYXZTC</t>
        </is>
      </c>
      <c r="C104" s="42" t="inlineStr">
        <is>
          <t>DAIKEN Lutein Multivitamin with Lycopene</t>
        </is>
      </c>
      <c r="D104" s="44" t="inlineStr">
        <is>
          <t>W1</t>
        </is>
      </c>
      <c r="E104" s="45" t="n">
        <v>0</v>
      </c>
      <c r="F104" s="45" t="n">
        <v>0</v>
      </c>
      <c r="G104" s="12" t="n">
        <v>0</v>
      </c>
      <c r="H104" s="12" t="n">
        <v>0</v>
      </c>
      <c r="I104" s="12" t="n">
        <v>0</v>
      </c>
      <c r="J104" s="114" t="n"/>
      <c r="K104" s="115" t="n"/>
      <c r="L104" s="101" t="n">
        <v>0</v>
      </c>
      <c r="M104" s="101" t="n">
        <v>0</v>
      </c>
    </row>
    <row r="105" ht="16" customHeight="1">
      <c r="A105" s="102" t="inlineStr">
        <is>
          <t>綜合維生素</t>
        </is>
      </c>
      <c r="B105" s="50" t="inlineStr">
        <is>
          <t>B0BRMYXZTC</t>
        </is>
      </c>
      <c r="C105" s="49" t="inlineStr">
        <is>
          <t>DAIKEN Lutein Multivitamin with Lycopene</t>
        </is>
      </c>
      <c r="D105" s="51" t="inlineStr">
        <is>
          <t>W2</t>
        </is>
      </c>
      <c r="E105" s="52" t="n">
        <v>0</v>
      </c>
      <c r="F105" s="52" t="n">
        <v>0</v>
      </c>
      <c r="G105" s="14" t="n">
        <v>0</v>
      </c>
      <c r="H105" s="14" t="n">
        <v>0</v>
      </c>
      <c r="I105" s="14" t="n">
        <v>0</v>
      </c>
      <c r="J105" s="116" t="n"/>
      <c r="K105" s="117" t="n"/>
      <c r="L105" s="104" t="n">
        <v>0</v>
      </c>
      <c r="M105" s="104" t="n">
        <v>0</v>
      </c>
    </row>
    <row r="106" ht="16" customHeight="1">
      <c r="A106" s="105" t="inlineStr">
        <is>
          <t>綜合維生素</t>
        </is>
      </c>
      <c r="B106" s="57" t="inlineStr">
        <is>
          <t>B0BRMYXZTC</t>
        </is>
      </c>
      <c r="C106" s="56" t="inlineStr">
        <is>
          <t>DAIKEN Lutein Multivitamin with Lycopene</t>
        </is>
      </c>
      <c r="D106" s="58" t="inlineStr">
        <is>
          <t>W3</t>
        </is>
      </c>
      <c r="E106" s="59" t="n">
        <v>0</v>
      </c>
      <c r="F106" s="59" t="n">
        <v>0</v>
      </c>
      <c r="G106" s="16" t="n">
        <v>0</v>
      </c>
      <c r="H106" s="16" t="n">
        <v>0</v>
      </c>
      <c r="I106" s="16" t="n">
        <v>0</v>
      </c>
      <c r="J106" s="118" t="n"/>
      <c r="K106" s="36" t="n"/>
      <c r="L106" s="107" t="n">
        <v>0</v>
      </c>
      <c r="M106" s="107" t="n">
        <v>0</v>
      </c>
    </row>
    <row r="107" ht="16" customHeight="1">
      <c r="A107" s="108" t="inlineStr">
        <is>
          <t>綜合維生素</t>
        </is>
      </c>
      <c r="B107" s="64" t="inlineStr">
        <is>
          <t>B0BRMYXZTC</t>
        </is>
      </c>
      <c r="C107" s="63" t="inlineStr">
        <is>
          <t>DAIKEN Lutein Multivitamin with Lycopene</t>
        </is>
      </c>
      <c r="D107" s="65" t="inlineStr">
        <is>
          <t>W4</t>
        </is>
      </c>
      <c r="E107" s="66" t="n">
        <v>0</v>
      </c>
      <c r="F107" s="66" t="n">
        <v>0</v>
      </c>
      <c r="G107" s="18" t="n">
        <v>0</v>
      </c>
      <c r="H107" s="18" t="n">
        <v>0</v>
      </c>
      <c r="I107" s="18" t="n">
        <v>0</v>
      </c>
      <c r="J107" s="119" t="n"/>
      <c r="K107" s="120" t="n"/>
      <c r="L107" s="110" t="n">
        <v>0</v>
      </c>
      <c r="M107" s="110" t="n">
        <v>0</v>
      </c>
    </row>
    <row r="108" ht="16" customHeight="1">
      <c r="A108" s="111" t="inlineStr">
        <is>
          <t>綜合維生素</t>
        </is>
      </c>
      <c r="B108" s="71" t="inlineStr">
        <is>
          <t>B0BRMYXZTC</t>
        </is>
      </c>
      <c r="C108" s="70" t="inlineStr">
        <is>
          <t>DAIKEN Lutein Multivitamin with Lycopene</t>
        </is>
      </c>
      <c r="D108" s="72" t="inlineStr">
        <is>
          <t>W5</t>
        </is>
      </c>
      <c r="E108" s="73" t="n">
        <v>0</v>
      </c>
      <c r="F108" s="73" t="n">
        <v>0</v>
      </c>
      <c r="G108" s="20" t="n">
        <v>0</v>
      </c>
      <c r="H108" s="20" t="n">
        <v>0</v>
      </c>
      <c r="I108" s="20" t="n">
        <v>0</v>
      </c>
      <c r="J108" s="121" t="n"/>
      <c r="K108" s="122" t="n"/>
      <c r="L108" s="113" t="n">
        <v>0</v>
      </c>
      <c r="M108" s="113" t="n">
        <v>0</v>
      </c>
    </row>
  </sheetData>
  <mergeCells count="1">
    <mergeCell ref="A1:M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16a34a"/>
    <outlinePr summaryBelow="1" summaryRight="1"/>
    <pageSetUpPr/>
  </sheetPr>
  <dimension ref="A1:N32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</cols>
  <sheetData>
    <row r="1" ht="24" customHeight="1">
      <c r="A1" s="40" t="inlineStr">
        <is>
          <t>Week-over-Week Change  |  4 Comparison Periods  |  Green = Improvement, Red = Decline</t>
        </is>
      </c>
    </row>
    <row r="2" ht="4" customHeight="1"/>
    <row r="3" ht="16" customHeight="1">
      <c r="A3" s="9" t="inlineStr">
        <is>
          <t>產品</t>
        </is>
      </c>
      <c r="B3" s="9" t="inlineStr">
        <is>
          <t>Metric</t>
        </is>
      </c>
      <c r="C3" s="123" t="inlineStr">
        <is>
          <t>W1 → W2</t>
        </is>
      </c>
      <c r="F3" s="124" t="inlineStr">
        <is>
          <t>W2 → W3</t>
        </is>
      </c>
      <c r="I3" s="125" t="inlineStr">
        <is>
          <t>W3 → W4</t>
        </is>
      </c>
      <c r="L3" s="126" t="inlineStr">
        <is>
          <t>W4 → W5</t>
        </is>
      </c>
    </row>
    <row r="4" ht="20" customHeight="1">
      <c r="A4" s="9" t="inlineStr">
        <is>
          <t>產品名稱</t>
        </is>
      </c>
      <c r="B4" s="9" t="inlineStr">
        <is>
          <t>Metric</t>
        </is>
      </c>
      <c r="C4" s="127" t="inlineStr">
        <is>
          <t>Feb 1–7</t>
        </is>
      </c>
      <c r="D4" s="127" t="inlineStr">
        <is>
          <t>Feb 8–14</t>
        </is>
      </c>
      <c r="E4" s="123" t="inlineStr">
        <is>
          <t>Δ%</t>
        </is>
      </c>
      <c r="F4" s="128" t="inlineStr">
        <is>
          <t>Feb 8–14</t>
        </is>
      </c>
      <c r="G4" s="128" t="inlineStr">
        <is>
          <t>Feb 15–21</t>
        </is>
      </c>
      <c r="H4" s="124" t="inlineStr">
        <is>
          <t>Δ%</t>
        </is>
      </c>
      <c r="I4" s="129" t="inlineStr">
        <is>
          <t>Feb 15–21</t>
        </is>
      </c>
      <c r="J4" s="129" t="inlineStr">
        <is>
          <t>Feb 22–28</t>
        </is>
      </c>
      <c r="K4" s="125" t="inlineStr">
        <is>
          <t>Δ%</t>
        </is>
      </c>
      <c r="L4" s="130" t="inlineStr">
        <is>
          <t>Feb 22–28</t>
        </is>
      </c>
      <c r="M4" s="130" t="inlineStr">
        <is>
          <t>Mar 1–7</t>
        </is>
      </c>
      <c r="N4" s="126" t="inlineStr">
        <is>
          <t>Δ%</t>
        </is>
      </c>
    </row>
    <row r="5" ht="16" customHeight="1">
      <c r="A5" s="24" t="inlineStr">
        <is>
          <t>納豆激酶</t>
        </is>
      </c>
      <c r="B5" s="131" t="inlineStr">
        <is>
          <t>Sales</t>
        </is>
      </c>
      <c r="C5" s="132" t="n">
        <v>2376.67</v>
      </c>
      <c r="D5" s="132" t="n">
        <v>1973.43</v>
      </c>
      <c r="E5" s="133" t="n">
        <v>-0.1696659611978104</v>
      </c>
      <c r="F5" s="134" t="n">
        <v>1973.43</v>
      </c>
      <c r="G5" s="134" t="n">
        <v>1531.3</v>
      </c>
      <c r="H5" s="135" t="n">
        <v>-0.2240413898643479</v>
      </c>
      <c r="I5" s="136" t="n">
        <v>1531.3</v>
      </c>
      <c r="J5" s="136" t="n">
        <v>1160.23</v>
      </c>
      <c r="K5" s="137" t="n">
        <v>-0.2423235159668255</v>
      </c>
      <c r="L5" s="138" t="n">
        <v>1160.23</v>
      </c>
      <c r="M5" s="138" t="n">
        <v>3261.18</v>
      </c>
      <c r="N5" s="139" t="n">
        <v>1.810804754229765</v>
      </c>
    </row>
    <row r="6" ht="16" customHeight="1">
      <c r="A6" s="140" t="inlineStr"/>
      <c r="B6" s="141" t="inlineStr">
        <is>
          <t>Spend</t>
        </is>
      </c>
      <c r="C6" s="132" t="n">
        <v>581.85</v>
      </c>
      <c r="D6" s="132" t="n">
        <v>431.03</v>
      </c>
      <c r="E6" s="142" t="n">
        <v>-0.2592076995789294</v>
      </c>
      <c r="F6" s="134" t="n">
        <v>431.03</v>
      </c>
      <c r="G6" s="134" t="n">
        <v>363.62</v>
      </c>
      <c r="H6" s="143" t="n">
        <v>-0.1563928264853954</v>
      </c>
      <c r="I6" s="136" t="n">
        <v>363.62</v>
      </c>
      <c r="J6" s="136" t="n">
        <v>450.82</v>
      </c>
      <c r="K6" s="137" t="n">
        <v>0.2398107914856168</v>
      </c>
      <c r="L6" s="138" t="n">
        <v>450.82</v>
      </c>
      <c r="M6" s="138" t="n">
        <v>1025.61</v>
      </c>
      <c r="N6" s="144" t="n">
        <v>1.274987800008873</v>
      </c>
    </row>
    <row r="7" ht="16" customHeight="1">
      <c r="A7" s="145" t="inlineStr"/>
      <c r="B7" s="131" t="inlineStr">
        <is>
          <t>Units</t>
        </is>
      </c>
      <c r="C7" s="132" t="n">
        <v>67</v>
      </c>
      <c r="D7" s="132" t="n">
        <v>57</v>
      </c>
      <c r="E7" s="133" t="n">
        <v>-0.1492537313432836</v>
      </c>
      <c r="F7" s="134" t="n">
        <v>57</v>
      </c>
      <c r="G7" s="134" t="n">
        <v>44</v>
      </c>
      <c r="H7" s="135" t="n">
        <v>-0.2280701754385965</v>
      </c>
      <c r="I7" s="136" t="n">
        <v>44</v>
      </c>
      <c r="J7" s="136" t="n">
        <v>37</v>
      </c>
      <c r="K7" s="137" t="n">
        <v>-0.1590909090909091</v>
      </c>
      <c r="L7" s="138" t="n">
        <v>37</v>
      </c>
      <c r="M7" s="138" t="n">
        <v>96</v>
      </c>
      <c r="N7" s="139" t="n">
        <v>1.594594594594595</v>
      </c>
    </row>
    <row r="8" ht="16" customHeight="1">
      <c r="A8" s="140" t="inlineStr"/>
      <c r="B8" s="141" t="inlineStr">
        <is>
          <t>TACOS</t>
        </is>
      </c>
      <c r="C8" s="146" t="n">
        <v>24.5</v>
      </c>
      <c r="D8" s="146" t="n">
        <v>21.8</v>
      </c>
      <c r="E8" s="142" t="n">
        <v>-0.110204081632653</v>
      </c>
      <c r="F8" s="147" t="n">
        <v>21.8</v>
      </c>
      <c r="G8" s="147" t="n">
        <v>23.7</v>
      </c>
      <c r="H8" s="135" t="n">
        <v>0.08715596330275223</v>
      </c>
      <c r="I8" s="148" t="n">
        <v>23.7</v>
      </c>
      <c r="J8" s="148" t="n">
        <v>38.9</v>
      </c>
      <c r="K8" s="137" t="n">
        <v>0.6413502109704641</v>
      </c>
      <c r="L8" s="149" t="n">
        <v>38.9</v>
      </c>
      <c r="M8" s="149" t="n">
        <v>31.4</v>
      </c>
      <c r="N8" s="139" t="n">
        <v>-0.1928020565552699</v>
      </c>
    </row>
    <row r="9" ht="16" customHeight="1">
      <c r="A9" s="24" t="inlineStr">
        <is>
          <t>兒童魚油軟糖</t>
        </is>
      </c>
      <c r="B9" s="131" t="inlineStr">
        <is>
          <t>Sales</t>
        </is>
      </c>
      <c r="C9" s="132" t="n">
        <v>1330.33</v>
      </c>
      <c r="D9" s="132" t="n">
        <v>1162.42</v>
      </c>
      <c r="E9" s="133" t="n">
        <v>-0.1262168033495447</v>
      </c>
      <c r="F9" s="134" t="n">
        <v>1162.42</v>
      </c>
      <c r="G9" s="134" t="n">
        <v>1480.3</v>
      </c>
      <c r="H9" s="143" t="n">
        <v>0.2734639803169249</v>
      </c>
      <c r="I9" s="136" t="n">
        <v>1480.3</v>
      </c>
      <c r="J9" s="136" t="n">
        <v>2682.76</v>
      </c>
      <c r="K9" s="150" t="n">
        <v>0.812308315881916</v>
      </c>
      <c r="L9" s="138" t="n">
        <v>2682.76</v>
      </c>
      <c r="M9" s="138" t="n">
        <v>1656.36</v>
      </c>
      <c r="N9" s="144" t="n">
        <v>-0.3825910629351862</v>
      </c>
    </row>
    <row r="10" ht="16" customHeight="1">
      <c r="A10" s="140" t="inlineStr"/>
      <c r="B10" s="141" t="inlineStr">
        <is>
          <t>Spend</t>
        </is>
      </c>
      <c r="C10" s="132" t="n">
        <v>1549.76</v>
      </c>
      <c r="D10" s="132" t="n">
        <v>1403.94</v>
      </c>
      <c r="E10" s="142" t="n">
        <v>-0.09409198843691922</v>
      </c>
      <c r="F10" s="134" t="n">
        <v>1403.94</v>
      </c>
      <c r="G10" s="134" t="n">
        <v>2122.73</v>
      </c>
      <c r="H10" s="135" t="n">
        <v>0.5119805689701838</v>
      </c>
      <c r="I10" s="136" t="n">
        <v>2122.73</v>
      </c>
      <c r="J10" s="136" t="n">
        <v>2766.05</v>
      </c>
      <c r="K10" s="137" t="n">
        <v>0.303062565658374</v>
      </c>
      <c r="L10" s="138" t="n">
        <v>2766.05</v>
      </c>
      <c r="M10" s="138" t="n">
        <v>2465.54</v>
      </c>
      <c r="N10" s="139" t="n">
        <v>-0.1086422877388334</v>
      </c>
    </row>
    <row r="11" ht="16" customHeight="1">
      <c r="A11" s="145" t="inlineStr"/>
      <c r="B11" s="131" t="inlineStr">
        <is>
          <t>Units</t>
        </is>
      </c>
      <c r="C11" s="132" t="n">
        <v>67</v>
      </c>
      <c r="D11" s="132" t="n">
        <v>58</v>
      </c>
      <c r="E11" s="133" t="n">
        <v>-0.1343283582089552</v>
      </c>
      <c r="F11" s="134" t="n">
        <v>58</v>
      </c>
      <c r="G11" s="134" t="n">
        <v>70</v>
      </c>
      <c r="H11" s="143" t="n">
        <v>0.2068965517241379</v>
      </c>
      <c r="I11" s="136" t="n">
        <v>70</v>
      </c>
      <c r="J11" s="136" t="n">
        <v>124</v>
      </c>
      <c r="K11" s="150" t="n">
        <v>0.7714285714285715</v>
      </c>
      <c r="L11" s="138" t="n">
        <v>124</v>
      </c>
      <c r="M11" s="138" t="n">
        <v>79</v>
      </c>
      <c r="N11" s="144" t="n">
        <v>-0.3629032258064516</v>
      </c>
    </row>
    <row r="12" ht="16" customHeight="1">
      <c r="A12" s="140" t="inlineStr"/>
      <c r="B12" s="141" t="inlineStr">
        <is>
          <t>TACOS</t>
        </is>
      </c>
      <c r="C12" s="146" t="n">
        <v>116.5</v>
      </c>
      <c r="D12" s="146" t="n">
        <v>120.8</v>
      </c>
      <c r="E12" s="133" t="n">
        <v>0.03690987124463517</v>
      </c>
      <c r="F12" s="147" t="n">
        <v>120.8</v>
      </c>
      <c r="G12" s="147" t="n">
        <v>143.4</v>
      </c>
      <c r="H12" s="135" t="n">
        <v>0.1870860927152319</v>
      </c>
      <c r="I12" s="148" t="n">
        <v>143.4</v>
      </c>
      <c r="J12" s="148" t="n">
        <v>103.1</v>
      </c>
      <c r="K12" s="150" t="n">
        <v>-0.2810320781032079</v>
      </c>
      <c r="L12" s="149" t="n">
        <v>103.1</v>
      </c>
      <c r="M12" s="149" t="n">
        <v>148.9</v>
      </c>
      <c r="N12" s="144" t="n">
        <v>0.4442289039767218</v>
      </c>
    </row>
    <row r="13" ht="16" customHeight="1">
      <c r="A13" s="24" t="inlineStr">
        <is>
          <t>瑪卡粉</t>
        </is>
      </c>
      <c r="B13" s="131" t="inlineStr">
        <is>
          <t>Sales</t>
        </is>
      </c>
      <c r="C13" s="132" t="n">
        <v>935.6</v>
      </c>
      <c r="D13" s="132" t="n">
        <v>1286.45</v>
      </c>
      <c r="E13" s="142" t="n">
        <v>0.375</v>
      </c>
      <c r="F13" s="134" t="n">
        <v>1286.45</v>
      </c>
      <c r="G13" s="134" t="n">
        <v>1473.57</v>
      </c>
      <c r="H13" s="143" t="n">
        <v>0.1454545454545454</v>
      </c>
      <c r="I13" s="136" t="n">
        <v>1473.57</v>
      </c>
      <c r="J13" s="136" t="n">
        <v>1707.47</v>
      </c>
      <c r="K13" s="150" t="n">
        <v>0.1587301587301588</v>
      </c>
      <c r="L13" s="138" t="n">
        <v>1707.47</v>
      </c>
      <c r="M13" s="138" t="n">
        <v>1684.08</v>
      </c>
      <c r="N13" s="151" t="n">
        <v>-0.01369863013698636</v>
      </c>
    </row>
    <row r="14" ht="16" customHeight="1">
      <c r="A14" s="140" t="inlineStr"/>
      <c r="B14" s="141" t="inlineStr">
        <is>
          <t>Spend</t>
        </is>
      </c>
      <c r="C14" s="132" t="n">
        <v>710.58</v>
      </c>
      <c r="D14" s="132" t="n">
        <v>738.08</v>
      </c>
      <c r="E14" s="133" t="n">
        <v>0.03870077964479721</v>
      </c>
      <c r="F14" s="134" t="n">
        <v>738.08</v>
      </c>
      <c r="G14" s="134" t="n">
        <v>1308.65</v>
      </c>
      <c r="H14" s="135" t="n">
        <v>0.7730462822458271</v>
      </c>
      <c r="I14" s="136" t="n">
        <v>1308.65</v>
      </c>
      <c r="J14" s="136" t="n">
        <v>1209.53</v>
      </c>
      <c r="K14" s="150" t="n">
        <v>-0.07574217705268797</v>
      </c>
      <c r="L14" s="138" t="n">
        <v>1209.53</v>
      </c>
      <c r="M14" s="138" t="n">
        <v>1027.79</v>
      </c>
      <c r="N14" s="139" t="n">
        <v>-0.1502567112845486</v>
      </c>
    </row>
    <row r="15" ht="16" customHeight="1">
      <c r="A15" s="145" t="inlineStr"/>
      <c r="B15" s="131" t="inlineStr">
        <is>
          <t>Units</t>
        </is>
      </c>
      <c r="C15" s="132" t="n">
        <v>40</v>
      </c>
      <c r="D15" s="132" t="n">
        <v>55</v>
      </c>
      <c r="E15" s="142" t="n">
        <v>0.375</v>
      </c>
      <c r="F15" s="134" t="n">
        <v>55</v>
      </c>
      <c r="G15" s="134" t="n">
        <v>63</v>
      </c>
      <c r="H15" s="143" t="n">
        <v>0.1454545454545454</v>
      </c>
      <c r="I15" s="136" t="n">
        <v>63</v>
      </c>
      <c r="J15" s="136" t="n">
        <v>73</v>
      </c>
      <c r="K15" s="150" t="n">
        <v>0.1587301587301587</v>
      </c>
      <c r="L15" s="138" t="n">
        <v>73</v>
      </c>
      <c r="M15" s="138" t="n">
        <v>72</v>
      </c>
      <c r="N15" s="151" t="n">
        <v>-0.0136986301369863</v>
      </c>
    </row>
    <row r="16" ht="16" customHeight="1">
      <c r="A16" s="140" t="inlineStr"/>
      <c r="B16" s="141" t="inlineStr">
        <is>
          <t>TACOS</t>
        </is>
      </c>
      <c r="C16" s="146" t="n">
        <v>75.90000000000001</v>
      </c>
      <c r="D16" s="146" t="n">
        <v>57.4</v>
      </c>
      <c r="E16" s="142" t="n">
        <v>-0.243741765480896</v>
      </c>
      <c r="F16" s="147" t="n">
        <v>57.4</v>
      </c>
      <c r="G16" s="147" t="n">
        <v>88.8</v>
      </c>
      <c r="H16" s="135" t="n">
        <v>0.5470383275261324</v>
      </c>
      <c r="I16" s="148" t="n">
        <v>88.8</v>
      </c>
      <c r="J16" s="148" t="n">
        <v>70.8</v>
      </c>
      <c r="K16" s="150" t="n">
        <v>-0.2027027027027027</v>
      </c>
      <c r="L16" s="149" t="n">
        <v>70.8</v>
      </c>
      <c r="M16" s="149" t="n">
        <v>61</v>
      </c>
      <c r="N16" s="139" t="n">
        <v>-0.1384180790960452</v>
      </c>
    </row>
    <row r="17" ht="16" customHeight="1">
      <c r="A17" s="24" t="inlineStr">
        <is>
          <t>成人頂級魚油</t>
        </is>
      </c>
      <c r="B17" s="131" t="inlineStr">
        <is>
          <t>Sales</t>
        </is>
      </c>
      <c r="C17" s="132" t="n">
        <v>706.3</v>
      </c>
      <c r="D17" s="132" t="n">
        <v>559.8200000000001</v>
      </c>
      <c r="E17" s="133" t="n">
        <v>-0.2073906272122326</v>
      </c>
      <c r="F17" s="134" t="n">
        <v>559.8200000000001</v>
      </c>
      <c r="G17" s="134" t="n">
        <v>342.38</v>
      </c>
      <c r="H17" s="135" t="n">
        <v>-0.3884105605373157</v>
      </c>
      <c r="I17" s="136" t="n">
        <v>342.38</v>
      </c>
      <c r="J17" s="136" t="n">
        <v>3032.75</v>
      </c>
      <c r="K17" s="150" t="n">
        <v>7.857848005140487</v>
      </c>
      <c r="L17" s="138" t="n">
        <v>3032.75</v>
      </c>
      <c r="M17" s="138" t="n">
        <v>590.83</v>
      </c>
      <c r="N17" s="144" t="n">
        <v>-0.8051834143928778</v>
      </c>
    </row>
    <row r="18" ht="16" customHeight="1">
      <c r="A18" s="140" t="inlineStr"/>
      <c r="B18" s="141" t="inlineStr">
        <is>
          <t>Spend</t>
        </is>
      </c>
      <c r="C18" s="132" t="n">
        <v>271.25</v>
      </c>
      <c r="D18" s="132" t="n">
        <v>1011.02</v>
      </c>
      <c r="E18" s="133" t="n">
        <v>2.72726267281106</v>
      </c>
      <c r="F18" s="134" t="n">
        <v>1011.02</v>
      </c>
      <c r="G18" s="134" t="n">
        <v>611.01</v>
      </c>
      <c r="H18" s="143" t="n">
        <v>-0.3956499376866927</v>
      </c>
      <c r="I18" s="136" t="n">
        <v>611.01</v>
      </c>
      <c r="J18" s="136" t="n">
        <v>702.22</v>
      </c>
      <c r="K18" s="137" t="n">
        <v>0.1492774259013765</v>
      </c>
      <c r="L18" s="138" t="n">
        <v>702.22</v>
      </c>
      <c r="M18" s="138" t="n">
        <v>36.55</v>
      </c>
      <c r="N18" s="139" t="n">
        <v>-0.9479507846543819</v>
      </c>
    </row>
    <row r="19" ht="16" customHeight="1">
      <c r="A19" s="145" t="inlineStr"/>
      <c r="B19" s="131" t="inlineStr">
        <is>
          <t>Units</t>
        </is>
      </c>
      <c r="C19" s="132" t="n">
        <v>20</v>
      </c>
      <c r="D19" s="132" t="n">
        <v>18</v>
      </c>
      <c r="E19" s="133" t="n">
        <v>-0.1</v>
      </c>
      <c r="F19" s="134" t="n">
        <v>18</v>
      </c>
      <c r="G19" s="134" t="n">
        <v>12</v>
      </c>
      <c r="H19" s="135" t="n">
        <v>-0.3333333333333333</v>
      </c>
      <c r="I19" s="136" t="n">
        <v>12</v>
      </c>
      <c r="J19" s="136" t="n">
        <v>75</v>
      </c>
      <c r="K19" s="150" t="n">
        <v>5.25</v>
      </c>
      <c r="L19" s="138" t="n">
        <v>75</v>
      </c>
      <c r="M19" s="138" t="n">
        <v>17</v>
      </c>
      <c r="N19" s="144" t="n">
        <v>-0.7733333333333333</v>
      </c>
    </row>
    <row r="20" ht="16" customHeight="1">
      <c r="A20" s="140" t="inlineStr"/>
      <c r="B20" s="141" t="inlineStr">
        <is>
          <t>TACOS</t>
        </is>
      </c>
      <c r="C20" s="146" t="n">
        <v>38.4</v>
      </c>
      <c r="D20" s="146" t="n">
        <v>180.6</v>
      </c>
      <c r="E20" s="133" t="n">
        <v>3.703125</v>
      </c>
      <c r="F20" s="147" t="n">
        <v>180.6</v>
      </c>
      <c r="G20" s="147" t="n">
        <v>178.5</v>
      </c>
      <c r="H20" s="152" t="n">
        <v>-0.01162790697674415</v>
      </c>
      <c r="I20" s="148" t="n">
        <v>178.5</v>
      </c>
      <c r="J20" s="148" t="n">
        <v>23.2</v>
      </c>
      <c r="K20" s="150" t="n">
        <v>-0.8700280112044818</v>
      </c>
      <c r="L20" s="149" t="n">
        <v>23.2</v>
      </c>
      <c r="M20" s="149" t="n">
        <v>6.2</v>
      </c>
      <c r="N20" s="139" t="n">
        <v>-0.7327586206896552</v>
      </c>
    </row>
    <row r="21" ht="16" customHeight="1">
      <c r="A21" s="24" t="inlineStr">
        <is>
          <t>苦瓜酵素</t>
        </is>
      </c>
      <c r="B21" s="131" t="inlineStr">
        <is>
          <t>Sales</t>
        </is>
      </c>
      <c r="C21" s="132" t="n">
        <v>793.25</v>
      </c>
      <c r="D21" s="132" t="n">
        <v>792.26</v>
      </c>
      <c r="E21" s="153" t="n">
        <v>-0.001248030255278927</v>
      </c>
      <c r="F21" s="134" t="n">
        <v>792.26</v>
      </c>
      <c r="G21" s="134" t="n">
        <v>1356.68</v>
      </c>
      <c r="H21" s="143" t="n">
        <v>0.7124176406735163</v>
      </c>
      <c r="I21" s="136" t="n">
        <v>1356.68</v>
      </c>
      <c r="J21" s="136" t="n">
        <v>1178.11</v>
      </c>
      <c r="K21" s="137" t="n">
        <v>-0.1316227850340538</v>
      </c>
      <c r="L21" s="138" t="n">
        <v>1178.11</v>
      </c>
      <c r="M21" s="138" t="n">
        <v>520.33</v>
      </c>
      <c r="N21" s="144" t="n">
        <v>-0.5583349602329154</v>
      </c>
    </row>
    <row r="22" ht="16" customHeight="1">
      <c r="A22" s="140" t="inlineStr"/>
      <c r="B22" s="141" t="inlineStr">
        <is>
          <t>Spend</t>
        </is>
      </c>
      <c r="C22" s="132" t="n">
        <v>597.2</v>
      </c>
      <c r="D22" s="132" t="n">
        <v>739.8099999999999</v>
      </c>
      <c r="E22" s="133" t="n">
        <v>0.238797722705961</v>
      </c>
      <c r="F22" s="134" t="n">
        <v>739.8099999999999</v>
      </c>
      <c r="G22" s="134" t="n">
        <v>1114.8</v>
      </c>
      <c r="H22" s="135" t="n">
        <v>0.5068733864100242</v>
      </c>
      <c r="I22" s="136" t="n">
        <v>1114.8</v>
      </c>
      <c r="J22" s="136" t="n">
        <v>661.73</v>
      </c>
      <c r="K22" s="150" t="n">
        <v>-0.4064137064944384</v>
      </c>
      <c r="L22" s="138" t="n">
        <v>661.73</v>
      </c>
      <c r="M22" s="138" t="n">
        <v>366.6</v>
      </c>
      <c r="N22" s="139" t="n">
        <v>-0.4459976123192239</v>
      </c>
    </row>
    <row r="23" ht="16" customHeight="1">
      <c r="A23" s="145" t="inlineStr"/>
      <c r="B23" s="131" t="inlineStr">
        <is>
          <t>Units</t>
        </is>
      </c>
      <c r="C23" s="132" t="n">
        <v>25</v>
      </c>
      <c r="D23" s="132" t="n">
        <v>24</v>
      </c>
      <c r="E23" s="133" t="n">
        <v>-0.04</v>
      </c>
      <c r="F23" s="134" t="n">
        <v>24</v>
      </c>
      <c r="G23" s="134" t="n">
        <v>32</v>
      </c>
      <c r="H23" s="143" t="n">
        <v>0.3333333333333333</v>
      </c>
      <c r="I23" s="136" t="n">
        <v>32</v>
      </c>
      <c r="J23" s="136" t="n">
        <v>39</v>
      </c>
      <c r="K23" s="150" t="n">
        <v>0.21875</v>
      </c>
      <c r="L23" s="138" t="n">
        <v>39</v>
      </c>
      <c r="M23" s="138" t="n">
        <v>17</v>
      </c>
      <c r="N23" s="144" t="n">
        <v>-0.5641025641025641</v>
      </c>
    </row>
    <row r="24" ht="16" customHeight="1">
      <c r="A24" s="140" t="inlineStr"/>
      <c r="B24" s="141" t="inlineStr">
        <is>
          <t>TACOS</t>
        </is>
      </c>
      <c r="C24" s="146" t="n">
        <v>75.3</v>
      </c>
      <c r="D24" s="146" t="n">
        <v>93.40000000000001</v>
      </c>
      <c r="E24" s="133" t="n">
        <v>0.2403718459495353</v>
      </c>
      <c r="F24" s="147" t="n">
        <v>93.40000000000001</v>
      </c>
      <c r="G24" s="147" t="n">
        <v>82.2</v>
      </c>
      <c r="H24" s="143" t="n">
        <v>-0.119914346895075</v>
      </c>
      <c r="I24" s="148" t="n">
        <v>82.2</v>
      </c>
      <c r="J24" s="148" t="n">
        <v>56.2</v>
      </c>
      <c r="K24" s="150" t="n">
        <v>-0.316301703163017</v>
      </c>
      <c r="L24" s="149" t="n">
        <v>56.2</v>
      </c>
      <c r="M24" s="149" t="n">
        <v>70.5</v>
      </c>
      <c r="N24" s="144" t="n">
        <v>0.2544483985765124</v>
      </c>
    </row>
    <row r="25" ht="16" customHeight="1">
      <c r="A25" s="24" t="inlineStr">
        <is>
          <t>葉黃素</t>
        </is>
      </c>
      <c r="B25" s="131" t="inlineStr">
        <is>
          <t>Sales</t>
        </is>
      </c>
      <c r="C25" s="132" t="n">
        <v>140.05</v>
      </c>
      <c r="D25" s="132" t="n">
        <v>160.15</v>
      </c>
      <c r="E25" s="142" t="n">
        <v>0.1435201713673687</v>
      </c>
      <c r="F25" s="134" t="n">
        <v>160.15</v>
      </c>
      <c r="G25" s="134" t="n">
        <v>23.99</v>
      </c>
      <c r="H25" s="135" t="n">
        <v>-0.850202934748673</v>
      </c>
      <c r="I25" s="136" t="n">
        <v>23.99</v>
      </c>
      <c r="J25" s="136" t="n">
        <v>276.21</v>
      </c>
      <c r="K25" s="150" t="n">
        <v>10.51354731137974</v>
      </c>
      <c r="L25" s="138" t="n">
        <v>276.21</v>
      </c>
      <c r="M25" s="138" t="n">
        <v>368.28</v>
      </c>
      <c r="N25" s="139" t="n">
        <v>0.3333333333333333</v>
      </c>
    </row>
    <row r="26" ht="16" customHeight="1">
      <c r="A26" s="140" t="inlineStr"/>
      <c r="B26" s="141" t="inlineStr">
        <is>
          <t>Spend</t>
        </is>
      </c>
      <c r="C26" s="132" t="n">
        <v>140.94</v>
      </c>
      <c r="D26" s="132" t="n">
        <v>120.21</v>
      </c>
      <c r="E26" s="142" t="n">
        <v>-0.1470838654746701</v>
      </c>
      <c r="F26" s="134" t="n">
        <v>120.21</v>
      </c>
      <c r="G26" s="134" t="n">
        <v>156.61</v>
      </c>
      <c r="H26" s="135" t="n">
        <v>0.3028034273354964</v>
      </c>
      <c r="I26" s="136" t="n">
        <v>156.61</v>
      </c>
      <c r="J26" s="136" t="n">
        <v>285.22</v>
      </c>
      <c r="K26" s="137" t="n">
        <v>0.8212119277185365</v>
      </c>
      <c r="L26" s="138" t="n">
        <v>285.22</v>
      </c>
      <c r="M26" s="138" t="n">
        <v>271.64</v>
      </c>
      <c r="N26" s="139" t="n">
        <v>-0.04761236939906052</v>
      </c>
    </row>
    <row r="27" ht="16" customHeight="1">
      <c r="A27" s="145" t="inlineStr"/>
      <c r="B27" s="131" t="inlineStr">
        <is>
          <t>Units</t>
        </is>
      </c>
      <c r="C27" s="132" t="n">
        <v>5</v>
      </c>
      <c r="D27" s="132" t="n">
        <v>5</v>
      </c>
      <c r="E27" s="153" t="n">
        <v>0</v>
      </c>
      <c r="F27" s="134" t="n">
        <v>5</v>
      </c>
      <c r="G27" s="134" t="n">
        <v>1</v>
      </c>
      <c r="H27" s="135" t="n">
        <v>-0.8</v>
      </c>
      <c r="I27" s="136" t="n">
        <v>1</v>
      </c>
      <c r="J27" s="136" t="n">
        <v>9</v>
      </c>
      <c r="K27" s="150" t="n">
        <v>8</v>
      </c>
      <c r="L27" s="138" t="n">
        <v>9</v>
      </c>
      <c r="M27" s="138" t="n">
        <v>12</v>
      </c>
      <c r="N27" s="139" t="n">
        <v>0.3333333333333333</v>
      </c>
    </row>
    <row r="28" ht="16" customHeight="1">
      <c r="A28" s="140" t="inlineStr"/>
      <c r="B28" s="141" t="inlineStr">
        <is>
          <t>TACOS</t>
        </is>
      </c>
      <c r="C28" s="146" t="n">
        <v>100.6</v>
      </c>
      <c r="D28" s="146" t="n">
        <v>75.09999999999999</v>
      </c>
      <c r="E28" s="142" t="n">
        <v>-0.253479125248509</v>
      </c>
      <c r="F28" s="147" t="n">
        <v>75.09999999999999</v>
      </c>
      <c r="G28" s="147" t="n">
        <v>652.8</v>
      </c>
      <c r="H28" s="135" t="n">
        <v>7.692410119840213</v>
      </c>
      <c r="I28" s="148" t="n">
        <v>652.8</v>
      </c>
      <c r="J28" s="148" t="n">
        <v>103.3</v>
      </c>
      <c r="K28" s="150" t="n">
        <v>-0.8417585784313726</v>
      </c>
      <c r="L28" s="149" t="n">
        <v>103.3</v>
      </c>
      <c r="M28" s="149" t="n">
        <v>73.8</v>
      </c>
      <c r="N28" s="139" t="n">
        <v>-0.2855759922555663</v>
      </c>
    </row>
    <row r="29" ht="16" customHeight="1">
      <c r="A29" s="24" t="inlineStr">
        <is>
          <t>綜合維生素</t>
        </is>
      </c>
      <c r="B29" s="131" t="inlineStr">
        <is>
          <t>Sales</t>
        </is>
      </c>
      <c r="C29" s="132" t="n">
        <v>86.45</v>
      </c>
      <c r="D29" s="132" t="n">
        <v>86.45</v>
      </c>
      <c r="E29" s="153" t="n">
        <v>0</v>
      </c>
      <c r="F29" s="134" t="n">
        <v>86.45</v>
      </c>
      <c r="G29" s="134" t="n">
        <v>0</v>
      </c>
      <c r="H29" s="135" t="n">
        <v>-1</v>
      </c>
      <c r="I29" s="136" t="n">
        <v>0</v>
      </c>
      <c r="J29" s="136" t="n">
        <v>52.97</v>
      </c>
      <c r="K29" s="154" t="n"/>
      <c r="L29" s="138" t="n">
        <v>52.97</v>
      </c>
      <c r="M29" s="138" t="n">
        <v>58.47</v>
      </c>
      <c r="N29" s="139" t="n">
        <v>0.1038323579384557</v>
      </c>
    </row>
    <row r="30" ht="16" customHeight="1">
      <c r="A30" s="140" t="inlineStr"/>
      <c r="B30" s="141" t="inlineStr">
        <is>
          <t>Spend</t>
        </is>
      </c>
      <c r="C30" s="132" t="n">
        <v>56.5</v>
      </c>
      <c r="D30" s="132" t="n">
        <v>31.4</v>
      </c>
      <c r="E30" s="142" t="n">
        <v>-0.4442477876106195</v>
      </c>
      <c r="F30" s="134" t="n">
        <v>31.4</v>
      </c>
      <c r="G30" s="134" t="n">
        <v>18.4</v>
      </c>
      <c r="H30" s="143" t="n">
        <v>-0.4140127388535032</v>
      </c>
      <c r="I30" s="136" t="n">
        <v>18.4</v>
      </c>
      <c r="J30" s="136" t="n">
        <v>8.039999999999999</v>
      </c>
      <c r="K30" s="150" t="n">
        <v>-0.5630434782608695</v>
      </c>
      <c r="L30" s="138" t="n">
        <v>8.039999999999999</v>
      </c>
      <c r="M30" s="138" t="n">
        <v>61.9</v>
      </c>
      <c r="N30" s="144" t="n">
        <v>6.699004975124379</v>
      </c>
    </row>
    <row r="31" ht="16" customHeight="1">
      <c r="A31" s="145" t="inlineStr"/>
      <c r="B31" s="131" t="inlineStr">
        <is>
          <t>Units</t>
        </is>
      </c>
      <c r="C31" s="132" t="n">
        <v>5</v>
      </c>
      <c r="D31" s="132" t="n">
        <v>5</v>
      </c>
      <c r="E31" s="153" t="n">
        <v>0</v>
      </c>
      <c r="F31" s="134" t="n">
        <v>5</v>
      </c>
      <c r="G31" s="134" t="n">
        <v>0</v>
      </c>
      <c r="H31" s="135" t="n">
        <v>-1</v>
      </c>
      <c r="I31" s="136" t="n">
        <v>0</v>
      </c>
      <c r="J31" s="136" t="n">
        <v>3</v>
      </c>
      <c r="K31" s="154" t="n"/>
      <c r="L31" s="138" t="n">
        <v>3</v>
      </c>
      <c r="M31" s="138" t="n">
        <v>3</v>
      </c>
      <c r="N31" s="151" t="n">
        <v>0</v>
      </c>
    </row>
    <row r="32" ht="16" customHeight="1">
      <c r="A32" s="140" t="inlineStr"/>
      <c r="B32" s="141" t="inlineStr">
        <is>
          <t>TACOS</t>
        </is>
      </c>
      <c r="C32" s="146" t="n">
        <v>65.40000000000001</v>
      </c>
      <c r="D32" s="146" t="n">
        <v>36.3</v>
      </c>
      <c r="E32" s="142" t="n">
        <v>-0.4449541284403671</v>
      </c>
      <c r="F32" s="147" t="n">
        <v>36.3</v>
      </c>
      <c r="G32" s="147" t="n">
        <v>0</v>
      </c>
      <c r="H32" s="143" t="n">
        <v>-1</v>
      </c>
      <c r="I32" s="148" t="n">
        <v>0</v>
      </c>
      <c r="J32" s="148" t="n">
        <v>15.2</v>
      </c>
      <c r="K32" s="154" t="n"/>
      <c r="L32" s="149" t="n">
        <v>15.2</v>
      </c>
      <c r="M32" s="149" t="n">
        <v>105.9</v>
      </c>
      <c r="N32" s="144" t="n">
        <v>5.967105263157896</v>
      </c>
    </row>
  </sheetData>
  <mergeCells count="5">
    <mergeCell ref="A1:L1"/>
    <mergeCell ref="C3:E3"/>
    <mergeCell ref="I3:K3"/>
    <mergeCell ref="F3:H3"/>
    <mergeCell ref="L3:N3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dc2626"/>
    <outlinePr summaryBelow="1" summaryRight="1"/>
    <pageSetUpPr/>
  </sheetPr>
  <dimension ref="A1:K206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1" customWidth="1" min="2" max="2"/>
    <col width="14" customWidth="1" min="3" max="3"/>
    <col width="14" customWidth="1" min="4" max="4"/>
    <col width="14" customWidth="1" min="5" max="5"/>
    <col width="38" customWidth="1" min="6" max="6"/>
    <col width="13" customWidth="1" min="7" max="7"/>
    <col width="8" customWidth="1" min="8" max="8"/>
    <col width="7" customWidth="1" min="9" max="9"/>
    <col width="13" customWidth="1" min="10" max="10"/>
    <col width="10" customWidth="1" min="11" max="11"/>
  </cols>
  <sheetData>
    <row r="1" ht="24" customHeight="1">
      <c r="A1" s="40" t="inlineStr">
        <is>
          <t>Sponsored Brands Attributed Purchases — W1–W5  |  196 rows  |  Total SB Sales: $6,351  |  NTB: $5,674</t>
        </is>
      </c>
    </row>
    <row r="2" ht="18" customHeight="1">
      <c r="A2" s="155" t="inlineStr">
        <is>
          <t>W1: $1,351 (44 ord)</t>
        </is>
      </c>
      <c r="C2" s="156" t="inlineStr">
        <is>
          <t>W2: $1,081 (37 ord)</t>
        </is>
      </c>
      <c r="E2" s="157" t="inlineStr">
        <is>
          <t>W3: $750 (24 ord)</t>
        </is>
      </c>
      <c r="G2" s="158" t="inlineStr">
        <is>
          <t>W4: $1,444 (56 ord)</t>
        </is>
      </c>
      <c r="I2" s="159" t="inlineStr">
        <is>
          <t>W5: $1,723 (52 ord)</t>
        </is>
      </c>
    </row>
    <row r="3" ht="4" customHeight="1"/>
    <row r="4" ht="20" customHeight="1">
      <c r="A4" s="41" t="inlineStr">
        <is>
          <t>Week</t>
        </is>
      </c>
      <c r="B4" s="41" t="inlineStr">
        <is>
          <t>Date</t>
        </is>
      </c>
      <c r="C4" s="41" t="inlineStr">
        <is>
          <t>產品 ZH</t>
        </is>
      </c>
      <c r="D4" s="41" t="inlineStr">
        <is>
          <t>Parent ASIN</t>
        </is>
      </c>
      <c r="E4" s="41" t="inlineStr">
        <is>
          <t>Child ASIN</t>
        </is>
      </c>
      <c r="F4" s="41" t="inlineStr">
        <is>
          <t>Campaign</t>
        </is>
      </c>
      <c r="G4" s="41" t="inlineStr">
        <is>
          <t>SB Sales ($)</t>
        </is>
      </c>
      <c r="H4" s="41" t="inlineStr">
        <is>
          <t>Orders</t>
        </is>
      </c>
      <c r="I4" s="41" t="inlineStr">
        <is>
          <t>Units</t>
        </is>
      </c>
      <c r="J4" s="41" t="inlineStr">
        <is>
          <t>NTB Sales ($)</t>
        </is>
      </c>
      <c r="K4" s="41" t="inlineStr">
        <is>
          <t>NTB Orders</t>
        </is>
      </c>
    </row>
    <row r="5" ht="16" customHeight="1">
      <c r="A5" s="160" t="inlineStr">
        <is>
          <t xml:space="preserve">  W1 — Feb 1–7  |  44 筆  |  Sales $1,351  Orders 44  NTB $1,323</t>
        </is>
      </c>
    </row>
    <row r="6" ht="15" customHeight="1">
      <c r="A6" s="43" t="inlineStr">
        <is>
          <t>W1</t>
        </is>
      </c>
      <c r="B6" s="161" t="inlineStr">
        <is>
          <t>02/01</t>
        </is>
      </c>
      <c r="C6" s="162" t="inlineStr">
        <is>
          <t>納豆激酶</t>
        </is>
      </c>
      <c r="D6" s="43" t="inlineStr">
        <is>
          <t>B0DTV2XP8T</t>
        </is>
      </c>
      <c r="E6" s="43" t="inlineStr">
        <is>
          <t>B0DTYCNVQV</t>
        </is>
      </c>
      <c r="F6" s="42" t="inlineStr">
        <is>
          <t>SB_BROAD_nattokinase 120 capsules_111325</t>
        </is>
      </c>
      <c r="G6" s="45" t="n">
        <v>27.99</v>
      </c>
      <c r="H6" s="12" t="n">
        <v>1</v>
      </c>
      <c r="I6" s="12" t="n">
        <v>1</v>
      </c>
      <c r="J6" s="45" t="n">
        <v>27.99</v>
      </c>
      <c r="K6" s="101" t="n">
        <v>1</v>
      </c>
    </row>
    <row r="7" ht="15" customHeight="1">
      <c r="A7" s="43" t="inlineStr">
        <is>
          <t>W1</t>
        </is>
      </c>
      <c r="B7" s="161" t="inlineStr">
        <is>
          <t>02/01</t>
        </is>
      </c>
      <c r="C7" s="162" t="inlineStr">
        <is>
          <t>納豆激酶</t>
        </is>
      </c>
      <c r="D7" s="43" t="inlineStr">
        <is>
          <t>B0DTV2XP8T</t>
        </is>
      </c>
      <c r="E7" s="43" t="inlineStr">
        <is>
          <t>B0DTYLYN6B</t>
        </is>
      </c>
      <c r="F7" s="42" t="inlineStr">
        <is>
          <t>SB_BROAD_enhanced absorption nattokinase formula_110725</t>
        </is>
      </c>
      <c r="G7" s="45" t="n">
        <v>53.19</v>
      </c>
      <c r="H7" s="12" t="n">
        <v>1</v>
      </c>
      <c r="I7" s="12" t="n">
        <v>1</v>
      </c>
      <c r="J7" s="45" t="n">
        <v>53.19</v>
      </c>
      <c r="K7" s="101" t="n">
        <v>1</v>
      </c>
    </row>
    <row r="8" ht="15" customHeight="1">
      <c r="A8" s="43" t="inlineStr">
        <is>
          <t>W1</t>
        </is>
      </c>
      <c r="B8" s="161" t="inlineStr">
        <is>
          <t>02/01</t>
        </is>
      </c>
      <c r="C8" s="162" t="inlineStr">
        <is>
          <t>納豆激酶</t>
        </is>
      </c>
      <c r="D8" s="43" t="inlineStr">
        <is>
          <t>B0DTV2XP8T</t>
        </is>
      </c>
      <c r="E8" s="43" t="inlineStr">
        <is>
          <t>B0DTYCNVQV</t>
        </is>
      </c>
      <c r="F8" s="42" t="inlineStr">
        <is>
          <t>SB_BROAD_aged natto extract_111025</t>
        </is>
      </c>
      <c r="G8" s="45" t="n">
        <v>27.99</v>
      </c>
      <c r="H8" s="12" t="n">
        <v>1</v>
      </c>
      <c r="I8" s="12" t="n">
        <v>1</v>
      </c>
      <c r="J8" s="45" t="n">
        <v>27.99</v>
      </c>
      <c r="K8" s="101" t="n">
        <v>1</v>
      </c>
    </row>
    <row r="9" ht="15" customHeight="1">
      <c r="A9" s="43" t="inlineStr">
        <is>
          <t>W1</t>
        </is>
      </c>
      <c r="B9" s="161" t="inlineStr">
        <is>
          <t>02/01</t>
        </is>
      </c>
      <c r="C9" s="162" t="inlineStr">
        <is>
          <t>納豆激酶</t>
        </is>
      </c>
      <c r="D9" s="43" t="inlineStr">
        <is>
          <t>B0DTV2XP8T</t>
        </is>
      </c>
      <c r="E9" s="43" t="inlineStr">
        <is>
          <t>B0DTYLYN6B</t>
        </is>
      </c>
      <c r="F9" s="42" t="inlineStr">
        <is>
          <t>SB_BROAD_natto enzyme complex_110525_1</t>
        </is>
      </c>
      <c r="G9" s="45" t="n">
        <v>53.19</v>
      </c>
      <c r="H9" s="12" t="n">
        <v>1</v>
      </c>
      <c r="I9" s="12" t="n">
        <v>1</v>
      </c>
      <c r="J9" s="45" t="n">
        <v>53.19</v>
      </c>
      <c r="K9" s="101" t="n">
        <v>1</v>
      </c>
    </row>
    <row r="10" ht="15" customHeight="1">
      <c r="A10" s="43" t="inlineStr">
        <is>
          <t>W1</t>
        </is>
      </c>
      <c r="B10" s="161" t="inlineStr">
        <is>
          <t>02/01</t>
        </is>
      </c>
      <c r="C10" s="162" t="inlineStr">
        <is>
          <t>苦瓜酵素</t>
        </is>
      </c>
      <c r="D10" s="43" t="inlineStr">
        <is>
          <t>B0FF4WBTWX</t>
        </is>
      </c>
      <c r="E10" s="43" t="inlineStr">
        <is>
          <t>B0DV3VX26C</t>
        </is>
      </c>
      <c r="F10" s="42" t="inlineStr">
        <is>
          <t>Bitter Melon - SBV - B0CPSQYJK4 - SPM - BX</t>
        </is>
      </c>
      <c r="G10" s="45" t="n">
        <v>27.49</v>
      </c>
      <c r="H10" s="12" t="n">
        <v>1</v>
      </c>
      <c r="I10" s="12" t="n">
        <v>1</v>
      </c>
      <c r="J10" s="45" t="n">
        <v>27.49</v>
      </c>
      <c r="K10" s="101" t="n">
        <v>1</v>
      </c>
    </row>
    <row r="11" ht="15" customHeight="1">
      <c r="A11" s="43" t="inlineStr">
        <is>
          <t>W1</t>
        </is>
      </c>
      <c r="B11" s="161" t="inlineStr">
        <is>
          <t>02/01</t>
        </is>
      </c>
      <c r="C11" s="162" t="inlineStr">
        <is>
          <t>兒童魚油軟糖</t>
        </is>
      </c>
      <c r="D11" s="43" t="inlineStr">
        <is>
          <t>B0G7SGXFC1</t>
        </is>
      </c>
      <c r="E11" s="43" t="inlineStr">
        <is>
          <t>B0G7K4CHWG</t>
        </is>
      </c>
      <c r="F11" s="42" t="inlineStr">
        <is>
          <t>SB_Kids Fish Oil Gummies_kids fish oil brain development_B0G7K4CHWG_133</t>
        </is>
      </c>
      <c r="G11" s="45" t="n">
        <v>14.99</v>
      </c>
      <c r="H11" s="12" t="n">
        <v>1</v>
      </c>
      <c r="I11" s="12" t="n">
        <v>1</v>
      </c>
      <c r="J11" s="45" t="n">
        <v>14.99</v>
      </c>
      <c r="K11" s="101" t="n">
        <v>1</v>
      </c>
    </row>
    <row r="12" ht="15" customHeight="1">
      <c r="A12" s="43" t="inlineStr">
        <is>
          <t>W1</t>
        </is>
      </c>
      <c r="B12" s="161" t="inlineStr">
        <is>
          <t>02/01</t>
        </is>
      </c>
      <c r="C12" s="162" t="inlineStr">
        <is>
          <t>兒童魚油軟糖</t>
        </is>
      </c>
      <c r="D12" s="43" t="inlineStr">
        <is>
          <t>B0G7SGXFC1</t>
        </is>
      </c>
      <c r="E12" s="43" t="inlineStr">
        <is>
          <t>B0G7K4CHWG</t>
        </is>
      </c>
      <c r="F12" s="42" t="inlineStr">
        <is>
          <t>SB_Kids Fish Oil Gummies_toddler omega 3 brain development_B0G7K4CHWG_199</t>
        </is>
      </c>
      <c r="G12" s="45" t="n">
        <v>14.99</v>
      </c>
      <c r="H12" s="12" t="n">
        <v>1</v>
      </c>
      <c r="I12" s="12" t="n">
        <v>1</v>
      </c>
      <c r="J12" s="45" t="n">
        <v>14.99</v>
      </c>
      <c r="K12" s="101" t="n">
        <v>1</v>
      </c>
    </row>
    <row r="13" ht="15" customHeight="1">
      <c r="A13" s="43" t="inlineStr">
        <is>
          <t>W1</t>
        </is>
      </c>
      <c r="B13" s="161" t="inlineStr">
        <is>
          <t>02/01</t>
        </is>
      </c>
      <c r="C13" s="162" t="inlineStr">
        <is>
          <t>兒童魚油軟糖</t>
        </is>
      </c>
      <c r="D13" s="43" t="inlineStr">
        <is>
          <t>B0G7SGXFC1</t>
        </is>
      </c>
      <c r="E13" s="43" t="inlineStr">
        <is>
          <t>B0G7K1VC4G</t>
        </is>
      </c>
      <c r="F13" s="42" t="inlineStr">
        <is>
          <t>SB_Kids Fish Oil Gummies_toddler fish oil chewable_B0G7K4CHWG_177</t>
        </is>
      </c>
      <c r="G13" s="45" t="n">
        <v>28.99</v>
      </c>
      <c r="H13" s="12" t="n">
        <v>1</v>
      </c>
      <c r="I13" s="12" t="n">
        <v>1</v>
      </c>
      <c r="J13" s="45" t="n">
        <v>28.99</v>
      </c>
      <c r="K13" s="101" t="n">
        <v>1</v>
      </c>
    </row>
    <row r="14" ht="15" customHeight="1">
      <c r="A14" s="43" t="inlineStr">
        <is>
          <t>W1</t>
        </is>
      </c>
      <c r="B14" s="161" t="inlineStr">
        <is>
          <t>02/02</t>
        </is>
      </c>
      <c r="C14" s="162" t="inlineStr">
        <is>
          <t>瑪卡粉</t>
        </is>
      </c>
      <c r="D14" s="43" t="inlineStr">
        <is>
          <t>B09Y8VBQTV</t>
        </is>
      </c>
      <c r="E14" s="43" t="inlineStr">
        <is>
          <t>B09Y8VBQTV</t>
        </is>
      </c>
      <c r="F14" s="42" t="inlineStr">
        <is>
          <t>Maca Powder - SBV - B09Y8VBQTV - Manual - BX</t>
        </is>
      </c>
      <c r="G14" s="45" t="n">
        <v>23.39</v>
      </c>
      <c r="H14" s="12" t="n">
        <v>1</v>
      </c>
      <c r="I14" s="12" t="n">
        <v>1</v>
      </c>
      <c r="J14" s="45" t="n">
        <v>23.39</v>
      </c>
      <c r="K14" s="101" t="n">
        <v>1</v>
      </c>
    </row>
    <row r="15" ht="15" customHeight="1">
      <c r="A15" s="43" t="inlineStr">
        <is>
          <t>W1</t>
        </is>
      </c>
      <c r="B15" s="161" t="inlineStr">
        <is>
          <t>02/02</t>
        </is>
      </c>
      <c r="C15" s="162" t="inlineStr">
        <is>
          <t>納豆激酶</t>
        </is>
      </c>
      <c r="D15" s="43" t="inlineStr">
        <is>
          <t>B0DTV2XP8T</t>
        </is>
      </c>
      <c r="E15" s="43" t="inlineStr">
        <is>
          <t>B0DTYCNVQV</t>
        </is>
      </c>
      <c r="F15" s="42" t="inlineStr">
        <is>
          <t>SB_BROAD_daily supplement featuring nattokinase_110725</t>
        </is>
      </c>
      <c r="G15" s="45" t="n">
        <v>27.99</v>
      </c>
      <c r="H15" s="12" t="n">
        <v>1</v>
      </c>
      <c r="I15" s="12" t="n">
        <v>1</v>
      </c>
      <c r="J15" s="45" t="n">
        <v>27.99</v>
      </c>
      <c r="K15" s="101" t="n">
        <v>1</v>
      </c>
    </row>
    <row r="16" ht="15" customHeight="1">
      <c r="A16" s="43" t="inlineStr">
        <is>
          <t>W1</t>
        </is>
      </c>
      <c r="B16" s="161" t="inlineStr">
        <is>
          <t>02/02</t>
        </is>
      </c>
      <c r="C16" s="162" t="inlineStr">
        <is>
          <t>成人頂級魚油</t>
        </is>
      </c>
      <c r="D16" s="43" t="inlineStr">
        <is>
          <t>B0DYHLCY51</t>
        </is>
      </c>
      <c r="E16" s="43" t="inlineStr">
        <is>
          <t>B0DTTHJCRL</t>
        </is>
      </c>
      <c r="F16" s="42" t="inlineStr">
        <is>
          <t>SB_Kids Fish Oil Gummies_childrens fish oil_B0G7K4CHWG_122</t>
        </is>
      </c>
      <c r="G16" s="45" t="n">
        <v>26.99</v>
      </c>
      <c r="H16" s="12" t="n">
        <v>1</v>
      </c>
      <c r="I16" s="12" t="n">
        <v>1</v>
      </c>
      <c r="J16" s="45" t="n">
        <v>26.99</v>
      </c>
      <c r="K16" s="101" t="n">
        <v>1</v>
      </c>
    </row>
    <row r="17" ht="15" customHeight="1">
      <c r="A17" s="43" t="inlineStr">
        <is>
          <t>W1</t>
        </is>
      </c>
      <c r="B17" s="161" t="inlineStr">
        <is>
          <t>02/02</t>
        </is>
      </c>
      <c r="C17" s="162" t="inlineStr">
        <is>
          <t>苦瓜酵素</t>
        </is>
      </c>
      <c r="D17" s="43" t="inlineStr">
        <is>
          <t>B0FF4WBTWX</t>
        </is>
      </c>
      <c r="E17" s="43" t="inlineStr">
        <is>
          <t>B0DV3VX26C</t>
        </is>
      </c>
      <c r="F17" s="42" t="inlineStr">
        <is>
          <t>Bitter Melon - SBV - PT - B0CPSQYJK4 - Competitors - BX</t>
        </is>
      </c>
      <c r="G17" s="45" t="n">
        <v>27.49</v>
      </c>
      <c r="H17" s="12" t="n">
        <v>1</v>
      </c>
      <c r="I17" s="12" t="n">
        <v>1</v>
      </c>
      <c r="J17" s="45" t="n">
        <v>27.49</v>
      </c>
      <c r="K17" s="101" t="n">
        <v>1</v>
      </c>
    </row>
    <row r="18" ht="15" customHeight="1">
      <c r="A18" s="43" t="inlineStr">
        <is>
          <t>W1</t>
        </is>
      </c>
      <c r="B18" s="161" t="inlineStr">
        <is>
          <t>02/02</t>
        </is>
      </c>
      <c r="C18" s="162" t="inlineStr">
        <is>
          <t>兒童魚油軟糖</t>
        </is>
      </c>
      <c r="D18" s="43" t="inlineStr">
        <is>
          <t>B0G7SGXFC1</t>
        </is>
      </c>
      <c r="E18" s="43" t="inlineStr">
        <is>
          <t>B0G7K1VC4G</t>
        </is>
      </c>
      <c r="F18" s="42" t="inlineStr">
        <is>
          <t>SB_Kids Fish Oil Gummies_omega 3 gummies for kids_B0G7K4CHWG_127</t>
        </is>
      </c>
      <c r="G18" s="45" t="n">
        <v>34.99</v>
      </c>
      <c r="H18" s="12" t="n">
        <v>1</v>
      </c>
      <c r="I18" s="12" t="n">
        <v>1</v>
      </c>
      <c r="J18" s="45" t="n">
        <v>34.99</v>
      </c>
      <c r="K18" s="101" t="n">
        <v>1</v>
      </c>
    </row>
    <row r="19" ht="15" customHeight="1">
      <c r="A19" s="43" t="inlineStr">
        <is>
          <t>W1</t>
        </is>
      </c>
      <c r="B19" s="161" t="inlineStr">
        <is>
          <t>02/03</t>
        </is>
      </c>
      <c r="C19" s="162" t="inlineStr">
        <is>
          <t>納豆激酶</t>
        </is>
      </c>
      <c r="D19" s="43" t="inlineStr">
        <is>
          <t>B0DTV2XP8T</t>
        </is>
      </c>
      <c r="E19" s="43" t="inlineStr">
        <is>
          <t>B0DTYCNVQV</t>
        </is>
      </c>
      <c r="F19" s="42" t="inlineStr">
        <is>
          <t>SB_BROAD_nattokinase extract_111325</t>
        </is>
      </c>
      <c r="G19" s="45" t="n">
        <v>27.99</v>
      </c>
      <c r="H19" s="12" t="n">
        <v>1</v>
      </c>
      <c r="I19" s="12" t="n">
        <v>1</v>
      </c>
      <c r="J19" s="45" t="n">
        <v>27.99</v>
      </c>
      <c r="K19" s="101" t="n">
        <v>1</v>
      </c>
    </row>
    <row r="20" ht="15" customHeight="1">
      <c r="A20" s="43" t="inlineStr">
        <is>
          <t>W1</t>
        </is>
      </c>
      <c r="B20" s="161" t="inlineStr">
        <is>
          <t>02/03</t>
        </is>
      </c>
      <c r="C20" s="162" t="inlineStr">
        <is>
          <t>納豆激酶</t>
        </is>
      </c>
      <c r="D20" s="43" t="inlineStr">
        <is>
          <t>B0DTV2XP8T</t>
        </is>
      </c>
      <c r="E20" s="43" t="inlineStr">
        <is>
          <t>B0DTYLYN6B</t>
        </is>
      </c>
      <c r="F20" s="42" t="inlineStr">
        <is>
          <t>SB_BROAD_nattokinase professional grade_111025</t>
        </is>
      </c>
      <c r="G20" s="45" t="n">
        <v>53.19</v>
      </c>
      <c r="H20" s="12" t="n">
        <v>1</v>
      </c>
      <c r="I20" s="12" t="n">
        <v>1</v>
      </c>
      <c r="J20" s="45" t="n">
        <v>53.19</v>
      </c>
      <c r="K20" s="101" t="n">
        <v>1</v>
      </c>
    </row>
    <row r="21" ht="15" customHeight="1">
      <c r="A21" s="43" t="inlineStr">
        <is>
          <t>W1</t>
        </is>
      </c>
      <c r="B21" s="161" t="inlineStr">
        <is>
          <t>02/03</t>
        </is>
      </c>
      <c r="C21" s="162" t="inlineStr">
        <is>
          <t>納豆激酶</t>
        </is>
      </c>
      <c r="D21" s="43" t="inlineStr">
        <is>
          <t>B0DTV2XP8T</t>
        </is>
      </c>
      <c r="E21" s="43" t="inlineStr">
        <is>
          <t>B0DTYCNVQV</t>
        </is>
      </c>
      <c r="F21" s="42" t="inlineStr">
        <is>
          <t>SB_BROAD_vegan nattokinase_111025</t>
        </is>
      </c>
      <c r="G21" s="45" t="n">
        <v>27.99</v>
      </c>
      <c r="H21" s="12" t="n">
        <v>1</v>
      </c>
      <c r="I21" s="12" t="n">
        <v>1</v>
      </c>
      <c r="J21" s="45" t="n">
        <v>27.99</v>
      </c>
      <c r="K21" s="101" t="n">
        <v>1</v>
      </c>
    </row>
    <row r="22" ht="15" customHeight="1">
      <c r="A22" s="43" t="inlineStr">
        <is>
          <t>W1</t>
        </is>
      </c>
      <c r="B22" s="161" t="inlineStr">
        <is>
          <t>02/03</t>
        </is>
      </c>
      <c r="C22" s="162" t="inlineStr">
        <is>
          <t>納豆激酶</t>
        </is>
      </c>
      <c r="D22" s="43" t="inlineStr">
        <is>
          <t>B0DTV2XP8T</t>
        </is>
      </c>
      <c r="E22" s="43" t="inlineStr">
        <is>
          <t>B0DTYCNVQV</t>
        </is>
      </c>
      <c r="F22" s="42" t="inlineStr">
        <is>
          <t>SB_BROAD_double strength nattokinase_111025</t>
        </is>
      </c>
      <c r="G22" s="45" t="n">
        <v>27.99</v>
      </c>
      <c r="H22" s="12" t="n">
        <v>1</v>
      </c>
      <c r="I22" s="12" t="n">
        <v>1</v>
      </c>
      <c r="J22" s="45" t="n">
        <v>27.99</v>
      </c>
      <c r="K22" s="101" t="n">
        <v>1</v>
      </c>
    </row>
    <row r="23" ht="15" customHeight="1">
      <c r="A23" s="43" t="inlineStr">
        <is>
          <t>W1</t>
        </is>
      </c>
      <c r="B23" s="161" t="inlineStr">
        <is>
          <t>02/03</t>
        </is>
      </c>
      <c r="C23" s="162" t="inlineStr">
        <is>
          <t>葉黃素</t>
        </is>
      </c>
      <c r="D23" s="43" t="inlineStr">
        <is>
          <t>B0FKBLZB11</t>
        </is>
      </c>
      <c r="E23" s="43" t="inlineStr">
        <is>
          <t>B0FH6BX4GQ</t>
        </is>
      </c>
      <c r="F23" s="42" t="inlineStr">
        <is>
          <t>Lutein Softgels - SBV - B0CVT95T3M - BX</t>
        </is>
      </c>
      <c r="G23" s="45" t="n">
        <v>23.99</v>
      </c>
      <c r="H23" s="12" t="n">
        <v>1</v>
      </c>
      <c r="I23" s="12" t="n">
        <v>1</v>
      </c>
      <c r="J23" s="45" t="n">
        <v>23.99</v>
      </c>
      <c r="K23" s="101" t="n">
        <v>1</v>
      </c>
    </row>
    <row r="24" ht="15" customHeight="1">
      <c r="A24" s="43" t="inlineStr">
        <is>
          <t>W1</t>
        </is>
      </c>
      <c r="B24" s="161" t="inlineStr">
        <is>
          <t>02/03</t>
        </is>
      </c>
      <c r="C24" s="162" t="inlineStr">
        <is>
          <t>兒童魚油軟糖</t>
        </is>
      </c>
      <c r="D24" s="43" t="inlineStr">
        <is>
          <t>B0G7SGXFC1</t>
        </is>
      </c>
      <c r="E24" s="43" t="inlineStr">
        <is>
          <t>B0G7K4CHWG</t>
        </is>
      </c>
      <c r="F24" s="42" t="inlineStr">
        <is>
          <t>SB_Kids Fish Oil Gummies_kids fish oil brain development_B0G7K4CHWG_199</t>
        </is>
      </c>
      <c r="G24" s="45" t="n">
        <v>17.99</v>
      </c>
      <c r="H24" s="12" t="n">
        <v>1</v>
      </c>
      <c r="I24" s="12" t="n">
        <v>1</v>
      </c>
      <c r="J24" s="45" t="n">
        <v>17.99</v>
      </c>
      <c r="K24" s="101" t="n">
        <v>1</v>
      </c>
    </row>
    <row r="25" ht="15" customHeight="1">
      <c r="A25" s="43" t="inlineStr">
        <is>
          <t>W1</t>
        </is>
      </c>
      <c r="B25" s="161" t="inlineStr">
        <is>
          <t>02/03</t>
        </is>
      </c>
      <c r="C25" s="162" t="inlineStr">
        <is>
          <t>兒童魚油軟糖</t>
        </is>
      </c>
      <c r="D25" s="43" t="inlineStr">
        <is>
          <t>B0G7SGXFC1</t>
        </is>
      </c>
      <c r="E25" s="43" t="inlineStr">
        <is>
          <t>B0G7K4CHWG</t>
        </is>
      </c>
      <c r="F25" s="42" t="inlineStr">
        <is>
          <t>SB_Kids Fish Oil Gummies_dha for 4 year old_B0G7K4CHWG_199</t>
        </is>
      </c>
      <c r="G25" s="45" t="n">
        <v>17.99</v>
      </c>
      <c r="H25" s="12" t="n">
        <v>1</v>
      </c>
      <c r="I25" s="12" t="n">
        <v>1</v>
      </c>
      <c r="J25" s="45" t="n">
        <v>17.99</v>
      </c>
      <c r="K25" s="101" t="n">
        <v>1</v>
      </c>
    </row>
    <row r="26" ht="15" customHeight="1">
      <c r="A26" s="43" t="inlineStr">
        <is>
          <t>W1</t>
        </is>
      </c>
      <c r="B26" s="161" t="inlineStr">
        <is>
          <t>02/04</t>
        </is>
      </c>
      <c r="C26" s="162" t="inlineStr">
        <is>
          <t>納豆激酶</t>
        </is>
      </c>
      <c r="D26" s="43" t="inlineStr">
        <is>
          <t>B0DTV2XP8T</t>
        </is>
      </c>
      <c r="E26" s="43" t="inlineStr">
        <is>
          <t>B0DTYCNVQV</t>
        </is>
      </c>
      <c r="F26" s="42" t="inlineStr">
        <is>
          <t>SB_BROAD_fermented foods for heart health_111125</t>
        </is>
      </c>
      <c r="G26" s="45" t="n">
        <v>27.99</v>
      </c>
      <c r="H26" s="12" t="n">
        <v>1</v>
      </c>
      <c r="I26" s="12" t="n">
        <v>1</v>
      </c>
      <c r="J26" s="45" t="n">
        <v>27.99</v>
      </c>
      <c r="K26" s="101" t="n">
        <v>1</v>
      </c>
    </row>
    <row r="27" ht="15" customHeight="1">
      <c r="A27" s="43" t="inlineStr">
        <is>
          <t>W1</t>
        </is>
      </c>
      <c r="B27" s="161" t="inlineStr">
        <is>
          <t>02/04</t>
        </is>
      </c>
      <c r="C27" s="162" t="inlineStr">
        <is>
          <t>納豆激酶</t>
        </is>
      </c>
      <c r="D27" s="43" t="inlineStr">
        <is>
          <t>B0DTV2XP8T</t>
        </is>
      </c>
      <c r="E27" s="43" t="inlineStr">
        <is>
          <t>B0DTYCNVQV</t>
        </is>
      </c>
      <c r="F27" s="42" t="inlineStr">
        <is>
          <t>SB_BROAD_nattokinase formula_111325</t>
        </is>
      </c>
      <c r="G27" s="45" t="n">
        <v>27.99</v>
      </c>
      <c r="H27" s="12" t="n">
        <v>1</v>
      </c>
      <c r="I27" s="12" t="n">
        <v>1</v>
      </c>
      <c r="J27" s="45" t="n">
        <v>27.99</v>
      </c>
      <c r="K27" s="101" t="n">
        <v>1</v>
      </c>
    </row>
    <row r="28" ht="15" customHeight="1">
      <c r="A28" s="43" t="inlineStr">
        <is>
          <t>W1</t>
        </is>
      </c>
      <c r="B28" s="161" t="inlineStr">
        <is>
          <t>02/04</t>
        </is>
      </c>
      <c r="C28" s="162" t="inlineStr">
        <is>
          <t>納豆激酶</t>
        </is>
      </c>
      <c r="D28" s="43" t="inlineStr">
        <is>
          <t>B0DTV2XP8T</t>
        </is>
      </c>
      <c r="E28" s="43" t="inlineStr">
        <is>
          <t>B0DTYCNVQV</t>
        </is>
      </c>
      <c r="F28" s="42" t="inlineStr">
        <is>
          <t>SB_BROAD_cardiovascular wellness_111225</t>
        </is>
      </c>
      <c r="G28" s="45" t="n">
        <v>27.99</v>
      </c>
      <c r="H28" s="12" t="n">
        <v>1</v>
      </c>
      <c r="I28" s="12" t="n">
        <v>1</v>
      </c>
      <c r="J28" s="45" t="n">
        <v>27.99</v>
      </c>
      <c r="K28" s="101" t="n">
        <v>1</v>
      </c>
    </row>
    <row r="29" ht="15" customHeight="1">
      <c r="A29" s="43" t="inlineStr">
        <is>
          <t>W1</t>
        </is>
      </c>
      <c r="B29" s="161" t="inlineStr">
        <is>
          <t>02/04</t>
        </is>
      </c>
      <c r="C29" s="162" t="inlineStr">
        <is>
          <t>成人頂級魚油</t>
        </is>
      </c>
      <c r="D29" s="43" t="inlineStr">
        <is>
          <t>B0DYHLCY51</t>
        </is>
      </c>
      <c r="E29" s="43" t="inlineStr">
        <is>
          <t>B0DTTHJCRL</t>
        </is>
      </c>
      <c r="F29" s="42" t="inlineStr">
        <is>
          <t>SB_Kids Fish Oil Gummies_natural children omega 3 gummies_B0G7K4CHWG_137</t>
        </is>
      </c>
      <c r="G29" s="45" t="n">
        <v>26.99</v>
      </c>
      <c r="H29" s="12" t="n">
        <v>1</v>
      </c>
      <c r="I29" s="12" t="n">
        <v>1</v>
      </c>
      <c r="J29" s="45" t="n">
        <v>26.99</v>
      </c>
      <c r="K29" s="101" t="n">
        <v>1</v>
      </c>
    </row>
    <row r="30" ht="15" customHeight="1">
      <c r="A30" s="43" t="inlineStr">
        <is>
          <t>W1</t>
        </is>
      </c>
      <c r="B30" s="161" t="inlineStr">
        <is>
          <t>02/04</t>
        </is>
      </c>
      <c r="C30" s="162" t="inlineStr">
        <is>
          <t>兒童魚油軟糖</t>
        </is>
      </c>
      <c r="D30" s="43" t="inlineStr">
        <is>
          <t>B0G7SGXFC1</t>
        </is>
      </c>
      <c r="E30" s="43" t="inlineStr">
        <is>
          <t>B0G7K4CHWG</t>
        </is>
      </c>
      <c r="F30" s="42" t="inlineStr">
        <is>
          <t>SB_Kids Fish Oil Gummies_children omega 3 no mercury_B0G7K4CHWG_199</t>
        </is>
      </c>
      <c r="G30" s="45" t="n">
        <v>35.98</v>
      </c>
      <c r="H30" s="12" t="n">
        <v>1</v>
      </c>
      <c r="I30" s="12" t="n">
        <v>2</v>
      </c>
      <c r="J30" s="45" t="n">
        <v>35.98</v>
      </c>
      <c r="K30" s="101" t="n">
        <v>1</v>
      </c>
    </row>
    <row r="31" ht="15" customHeight="1">
      <c r="A31" s="43" t="inlineStr">
        <is>
          <t>W1</t>
        </is>
      </c>
      <c r="B31" s="161" t="inlineStr">
        <is>
          <t>02/04</t>
        </is>
      </c>
      <c r="C31" s="162" t="inlineStr">
        <is>
          <t>兒童魚油軟糖</t>
        </is>
      </c>
      <c r="D31" s="43" t="inlineStr">
        <is>
          <t>B0G7SGXFC1</t>
        </is>
      </c>
      <c r="E31" s="43" t="inlineStr">
        <is>
          <t>B0G7K4CHWG</t>
        </is>
      </c>
      <c r="F31" s="42" t="inlineStr">
        <is>
          <t>SB_Kids Fish Oil Gummies_kids fish oil gummies_B0G7K4CHWG_188</t>
        </is>
      </c>
      <c r="G31" s="45" t="n">
        <v>17.99</v>
      </c>
      <c r="H31" s="12" t="n">
        <v>1</v>
      </c>
      <c r="I31" s="12" t="n">
        <v>1</v>
      </c>
      <c r="J31" s="45" t="n">
        <v>17.99</v>
      </c>
      <c r="K31" s="101" t="n">
        <v>1</v>
      </c>
    </row>
    <row r="32" ht="15" customHeight="1">
      <c r="A32" s="43" t="inlineStr">
        <is>
          <t>W1</t>
        </is>
      </c>
      <c r="B32" s="161" t="inlineStr">
        <is>
          <t>02/05</t>
        </is>
      </c>
      <c r="C32" s="162" t="inlineStr">
        <is>
          <t>納豆激酶</t>
        </is>
      </c>
      <c r="D32" s="43" t="inlineStr">
        <is>
          <t>B0DTV2XP8T</t>
        </is>
      </c>
      <c r="E32" s="43" t="inlineStr">
        <is>
          <t>B0DTYCNVQV</t>
        </is>
      </c>
      <c r="F32" s="42" t="inlineStr">
        <is>
          <t>SB_BROAD_nattokinase extract_111325</t>
        </is>
      </c>
      <c r="G32" s="45" t="n">
        <v>27.99</v>
      </c>
      <c r="H32" s="12" t="n">
        <v>1</v>
      </c>
      <c r="I32" s="12" t="n">
        <v>1</v>
      </c>
      <c r="J32" s="45" t="n">
        <v>0</v>
      </c>
      <c r="K32" s="101" t="n">
        <v>0</v>
      </c>
    </row>
    <row r="33" ht="15" customHeight="1">
      <c r="A33" s="43" t="inlineStr">
        <is>
          <t>W1</t>
        </is>
      </c>
      <c r="B33" s="161" t="inlineStr">
        <is>
          <t>02/05</t>
        </is>
      </c>
      <c r="C33" s="162" t="inlineStr">
        <is>
          <t>納豆激酶</t>
        </is>
      </c>
      <c r="D33" s="43" t="inlineStr">
        <is>
          <t>B0DTV2XP8T</t>
        </is>
      </c>
      <c r="E33" s="43" t="inlineStr">
        <is>
          <t>B0DTYLYN6B</t>
        </is>
      </c>
      <c r="F33" s="42" t="inlineStr">
        <is>
          <t>SB_BROAD_nattokinase supplement_111125</t>
        </is>
      </c>
      <c r="G33" s="45" t="n">
        <v>159.57</v>
      </c>
      <c r="H33" s="12" t="n">
        <v>1</v>
      </c>
      <c r="I33" s="12" t="n">
        <v>3</v>
      </c>
      <c r="J33" s="45" t="n">
        <v>159.57</v>
      </c>
      <c r="K33" s="101" t="n">
        <v>1</v>
      </c>
    </row>
    <row r="34" ht="15" customHeight="1">
      <c r="A34" s="43" t="inlineStr">
        <is>
          <t>W1</t>
        </is>
      </c>
      <c r="B34" s="161" t="inlineStr">
        <is>
          <t>02/05</t>
        </is>
      </c>
      <c r="C34" s="162" t="inlineStr">
        <is>
          <t>納豆激酶</t>
        </is>
      </c>
      <c r="D34" s="43" t="inlineStr">
        <is>
          <t>B0DTV2XP8T</t>
        </is>
      </c>
      <c r="E34" s="43" t="inlineStr">
        <is>
          <t>B0DTYCNVQV</t>
        </is>
      </c>
      <c r="F34" s="42" t="inlineStr">
        <is>
          <t>SB_BROAD_nattokinase supplement_111125</t>
        </is>
      </c>
      <c r="G34" s="45" t="n">
        <v>27.99</v>
      </c>
      <c r="H34" s="12" t="n">
        <v>1</v>
      </c>
      <c r="I34" s="12" t="n">
        <v>1</v>
      </c>
      <c r="J34" s="45" t="n">
        <v>27.99</v>
      </c>
      <c r="K34" s="101" t="n">
        <v>1</v>
      </c>
    </row>
    <row r="35" ht="15" customHeight="1">
      <c r="A35" s="43" t="inlineStr">
        <is>
          <t>W1</t>
        </is>
      </c>
      <c r="B35" s="161" t="inlineStr">
        <is>
          <t>02/05</t>
        </is>
      </c>
      <c r="C35" s="162" t="inlineStr">
        <is>
          <t>苦瓜酵素</t>
        </is>
      </c>
      <c r="D35" s="43" t="inlineStr">
        <is>
          <t>B0FF4WBTWX</t>
        </is>
      </c>
      <c r="E35" s="43" t="inlineStr">
        <is>
          <t>B0DV3VX26C</t>
        </is>
      </c>
      <c r="F35" s="42" t="inlineStr">
        <is>
          <t>Bitter Melon - SBV - B0CPSQYJK4 - SPM - BX</t>
        </is>
      </c>
      <c r="G35" s="45" t="n">
        <v>27.49</v>
      </c>
      <c r="H35" s="12" t="n">
        <v>1</v>
      </c>
      <c r="I35" s="12" t="n">
        <v>1</v>
      </c>
      <c r="J35" s="45" t="n">
        <v>27.49</v>
      </c>
      <c r="K35" s="101" t="n">
        <v>1</v>
      </c>
    </row>
    <row r="36" ht="15" customHeight="1">
      <c r="A36" s="43" t="inlineStr">
        <is>
          <t>W1</t>
        </is>
      </c>
      <c r="B36" s="161" t="inlineStr">
        <is>
          <t>02/05</t>
        </is>
      </c>
      <c r="C36" s="162" t="inlineStr">
        <is>
          <t>兒童魚油軟糖</t>
        </is>
      </c>
      <c r="D36" s="43" t="inlineStr">
        <is>
          <t>B0G7SGXFC1</t>
        </is>
      </c>
      <c r="E36" s="43" t="inlineStr">
        <is>
          <t>B0G7K4CHWG</t>
        </is>
      </c>
      <c r="F36" s="42" t="inlineStr">
        <is>
          <t>SB_Kids Fish Oil Gummies_children fish oil liquid_B0G7K4CHWG_199</t>
        </is>
      </c>
      <c r="G36" s="45" t="n">
        <v>17.99</v>
      </c>
      <c r="H36" s="12" t="n">
        <v>1</v>
      </c>
      <c r="I36" s="12" t="n">
        <v>1</v>
      </c>
      <c r="J36" s="45" t="n">
        <v>17.99</v>
      </c>
      <c r="K36" s="101" t="n">
        <v>1</v>
      </c>
    </row>
    <row r="37" ht="15" customHeight="1">
      <c r="A37" s="43" t="inlineStr">
        <is>
          <t>W1</t>
        </is>
      </c>
      <c r="B37" s="161" t="inlineStr">
        <is>
          <t>02/05</t>
        </is>
      </c>
      <c r="C37" s="162" t="inlineStr">
        <is>
          <t>兒童魚油軟糖</t>
        </is>
      </c>
      <c r="D37" s="43" t="inlineStr">
        <is>
          <t>B0G7SGXFC1</t>
        </is>
      </c>
      <c r="E37" s="43" t="inlineStr">
        <is>
          <t>B0G7K1VC4G</t>
        </is>
      </c>
      <c r="F37" s="42" t="inlineStr">
        <is>
          <t>SB_Kids Fish Oil Gummies_children omega 3 immune support_B0G7K4CHWG_199</t>
        </is>
      </c>
      <c r="G37" s="45" t="n">
        <v>34.99</v>
      </c>
      <c r="H37" s="12" t="n">
        <v>1</v>
      </c>
      <c r="I37" s="12" t="n">
        <v>1</v>
      </c>
      <c r="J37" s="45" t="n">
        <v>34.99</v>
      </c>
      <c r="K37" s="101" t="n">
        <v>1</v>
      </c>
    </row>
    <row r="38" ht="15" customHeight="1">
      <c r="A38" s="43" t="inlineStr">
        <is>
          <t>W1</t>
        </is>
      </c>
      <c r="B38" s="161" t="inlineStr">
        <is>
          <t>02/05</t>
        </is>
      </c>
      <c r="C38" s="162" t="inlineStr">
        <is>
          <t>兒童魚油軟糖</t>
        </is>
      </c>
      <c r="D38" s="43" t="inlineStr">
        <is>
          <t>B0G7SGXFC1</t>
        </is>
      </c>
      <c r="E38" s="43" t="inlineStr">
        <is>
          <t>B0G7K4CHWG</t>
        </is>
      </c>
      <c r="F38" s="42" t="inlineStr">
        <is>
          <t>SB_Kids Fish Oil Gummies_toddler dha chewables_B0G7K4CHWG_199</t>
        </is>
      </c>
      <c r="G38" s="45" t="n">
        <v>17.99</v>
      </c>
      <c r="H38" s="12" t="n">
        <v>1</v>
      </c>
      <c r="I38" s="12" t="n">
        <v>1</v>
      </c>
      <c r="J38" s="45" t="n">
        <v>17.99</v>
      </c>
      <c r="K38" s="101" t="n">
        <v>1</v>
      </c>
    </row>
    <row r="39" ht="15" customHeight="1">
      <c r="A39" s="43" t="inlineStr">
        <is>
          <t>W1</t>
        </is>
      </c>
      <c r="B39" s="161" t="inlineStr">
        <is>
          <t>02/06</t>
        </is>
      </c>
      <c r="C39" s="162" t="inlineStr">
        <is>
          <t>納豆激酶</t>
        </is>
      </c>
      <c r="D39" s="43" t="inlineStr">
        <is>
          <t>B0DTV2XP8T</t>
        </is>
      </c>
      <c r="E39" s="43" t="inlineStr">
        <is>
          <t>B0DTYLYN6B</t>
        </is>
      </c>
      <c r="F39" s="42" t="inlineStr">
        <is>
          <t>SB_BROAD_double strength nattokinase_111025</t>
        </is>
      </c>
      <c r="G39" s="45" t="n">
        <v>53.19</v>
      </c>
      <c r="H39" s="12" t="n">
        <v>1</v>
      </c>
      <c r="I39" s="12" t="n">
        <v>1</v>
      </c>
      <c r="J39" s="45" t="n">
        <v>53.19</v>
      </c>
      <c r="K39" s="101" t="n">
        <v>1</v>
      </c>
    </row>
    <row r="40" ht="15" customHeight="1">
      <c r="A40" s="43" t="inlineStr">
        <is>
          <t>W1</t>
        </is>
      </c>
      <c r="B40" s="161" t="inlineStr">
        <is>
          <t>02/06</t>
        </is>
      </c>
      <c r="C40" s="162" t="inlineStr">
        <is>
          <t>納豆激酶</t>
        </is>
      </c>
      <c r="D40" s="43" t="inlineStr">
        <is>
          <t>B0DTV2XP8T</t>
        </is>
      </c>
      <c r="E40" s="43" t="inlineStr">
        <is>
          <t>B0DTYCNVQV</t>
        </is>
      </c>
      <c r="F40" s="42" t="inlineStr">
        <is>
          <t>SB_BROAD_time-release nattokinase formula_110725</t>
        </is>
      </c>
      <c r="G40" s="45" t="n">
        <v>27.99</v>
      </c>
      <c r="H40" s="12" t="n">
        <v>1</v>
      </c>
      <c r="I40" s="12" t="n">
        <v>1</v>
      </c>
      <c r="J40" s="45" t="n">
        <v>27.99</v>
      </c>
      <c r="K40" s="101" t="n">
        <v>1</v>
      </c>
    </row>
    <row r="41" ht="15" customHeight="1">
      <c r="A41" s="43" t="inlineStr">
        <is>
          <t>W1</t>
        </is>
      </c>
      <c r="B41" s="161" t="inlineStr">
        <is>
          <t>02/06</t>
        </is>
      </c>
      <c r="C41" s="162" t="inlineStr">
        <is>
          <t>兒童魚油軟糖</t>
        </is>
      </c>
      <c r="D41" s="43" t="inlineStr">
        <is>
          <t>B0G7SGXFC1</t>
        </is>
      </c>
      <c r="E41" s="43" t="inlineStr">
        <is>
          <t>B0G7K4CHWG</t>
        </is>
      </c>
      <c r="F41" s="42" t="inlineStr">
        <is>
          <t>SB_Kids Fish Oil Gummies_kids omega 3 raspberry gummies_B0G7K4CHWG_199</t>
        </is>
      </c>
      <c r="G41" s="45" t="n">
        <v>17.99</v>
      </c>
      <c r="H41" s="12" t="n">
        <v>1</v>
      </c>
      <c r="I41" s="12" t="n">
        <v>1</v>
      </c>
      <c r="J41" s="45" t="n">
        <v>17.99</v>
      </c>
      <c r="K41" s="101" t="n">
        <v>1</v>
      </c>
    </row>
    <row r="42" ht="15" customHeight="1">
      <c r="A42" s="43" t="inlineStr">
        <is>
          <t>W1</t>
        </is>
      </c>
      <c r="B42" s="161" t="inlineStr">
        <is>
          <t>02/07</t>
        </is>
      </c>
      <c r="C42" s="162" t="inlineStr">
        <is>
          <t>納豆激酶</t>
        </is>
      </c>
      <c r="D42" s="43" t="inlineStr">
        <is>
          <t>B0DTV2XP8T</t>
        </is>
      </c>
      <c r="E42" s="43" t="inlineStr">
        <is>
          <t>B0DTYCNVQV</t>
        </is>
      </c>
      <c r="F42" s="42" t="inlineStr">
        <is>
          <t>SB_BROAD_nattokinase formula_111325</t>
        </is>
      </c>
      <c r="G42" s="45" t="n">
        <v>27.99</v>
      </c>
      <c r="H42" s="12" t="n">
        <v>1</v>
      </c>
      <c r="I42" s="12" t="n">
        <v>1</v>
      </c>
      <c r="J42" s="45" t="n">
        <v>27.99</v>
      </c>
      <c r="K42" s="101" t="n">
        <v>1</v>
      </c>
    </row>
    <row r="43" ht="15" customHeight="1">
      <c r="A43" s="43" t="inlineStr">
        <is>
          <t>W1</t>
        </is>
      </c>
      <c r="B43" s="161" t="inlineStr">
        <is>
          <t>02/07</t>
        </is>
      </c>
      <c r="C43" s="162" t="inlineStr">
        <is>
          <t>納豆激酶</t>
        </is>
      </c>
      <c r="D43" s="43" t="inlineStr">
        <is>
          <t>B0DTV2XP8T</t>
        </is>
      </c>
      <c r="E43" s="43" t="inlineStr">
        <is>
          <t>B0DTYLYN6B</t>
        </is>
      </c>
      <c r="F43" s="42" t="inlineStr">
        <is>
          <t>SB_BROAD_circulatory wellness_1111251</t>
        </is>
      </c>
      <c r="G43" s="45" t="n">
        <v>50.53</v>
      </c>
      <c r="H43" s="12" t="n">
        <v>1</v>
      </c>
      <c r="I43" s="12" t="n">
        <v>1</v>
      </c>
      <c r="J43" s="45" t="n">
        <v>50.53</v>
      </c>
      <c r="K43" s="101" t="n">
        <v>1</v>
      </c>
    </row>
    <row r="44" ht="15" customHeight="1">
      <c r="A44" s="43" t="inlineStr">
        <is>
          <t>W1</t>
        </is>
      </c>
      <c r="B44" s="161" t="inlineStr">
        <is>
          <t>02/07</t>
        </is>
      </c>
      <c r="C44" s="162" t="inlineStr">
        <is>
          <t>兒童魚油軟糖</t>
        </is>
      </c>
      <c r="D44" s="43" t="inlineStr">
        <is>
          <t>B0G7SGXFC1</t>
        </is>
      </c>
      <c r="E44" s="43" t="inlineStr">
        <is>
          <t>B0G7K4CHWG</t>
        </is>
      </c>
      <c r="F44" s="42" t="inlineStr">
        <is>
          <t>SB_Kids Fish Oil Gummies_organic children dha gummies_B0G7K4CHWG_127</t>
        </is>
      </c>
      <c r="G44" s="45" t="n">
        <v>17.99</v>
      </c>
      <c r="H44" s="12" t="n">
        <v>1</v>
      </c>
      <c r="I44" s="12" t="n">
        <v>1</v>
      </c>
      <c r="J44" s="45" t="n">
        <v>17.99</v>
      </c>
      <c r="K44" s="101" t="n">
        <v>1</v>
      </c>
    </row>
    <row r="45" ht="15" customHeight="1">
      <c r="A45" s="43" t="inlineStr">
        <is>
          <t>W1</t>
        </is>
      </c>
      <c r="B45" s="161" t="inlineStr">
        <is>
          <t>02/07</t>
        </is>
      </c>
      <c r="C45" s="162" t="inlineStr">
        <is>
          <t>兒童魚油軟糖</t>
        </is>
      </c>
      <c r="D45" s="43" t="inlineStr">
        <is>
          <t>B0G7SGXFC1</t>
        </is>
      </c>
      <c r="E45" s="43" t="inlineStr">
        <is>
          <t>B0G7K4CHWG</t>
        </is>
      </c>
      <c r="F45" s="42" t="inlineStr">
        <is>
          <t>SB_Kids Fish Oil Gummies_children fish oil liquid_B0G7K4CHWG_199</t>
        </is>
      </c>
      <c r="G45" s="45" t="n">
        <v>17.99</v>
      </c>
      <c r="H45" s="12" t="n">
        <v>1</v>
      </c>
      <c r="I45" s="12" t="n">
        <v>1</v>
      </c>
      <c r="J45" s="45" t="n">
        <v>17.99</v>
      </c>
      <c r="K45" s="101" t="n">
        <v>1</v>
      </c>
    </row>
    <row r="46" ht="15" customHeight="1">
      <c r="A46" s="43" t="inlineStr">
        <is>
          <t>W1</t>
        </is>
      </c>
      <c r="B46" s="161" t="inlineStr">
        <is>
          <t>02/07</t>
        </is>
      </c>
      <c r="C46" s="162" t="inlineStr">
        <is>
          <t>兒童魚油軟糖</t>
        </is>
      </c>
      <c r="D46" s="43" t="inlineStr">
        <is>
          <t>B0G7SGXFC1</t>
        </is>
      </c>
      <c r="E46" s="43" t="inlineStr">
        <is>
          <t>B0G7K4CHWG</t>
        </is>
      </c>
      <c r="F46" s="42" t="inlineStr">
        <is>
          <t>SB_Kids Fish Oil Gummies_kids dha orange gummies_B0G7K4CHWG_199</t>
        </is>
      </c>
      <c r="G46" s="45" t="n">
        <v>17.99</v>
      </c>
      <c r="H46" s="12" t="n">
        <v>1</v>
      </c>
      <c r="I46" s="12" t="n">
        <v>1</v>
      </c>
      <c r="J46" s="45" t="n">
        <v>17.99</v>
      </c>
      <c r="K46" s="101" t="n">
        <v>1</v>
      </c>
    </row>
    <row r="47" ht="15" customHeight="1">
      <c r="A47" s="43" t="inlineStr">
        <is>
          <t>W1</t>
        </is>
      </c>
      <c r="B47" s="161" t="inlineStr">
        <is>
          <t>02/07</t>
        </is>
      </c>
      <c r="C47" s="162" t="inlineStr">
        <is>
          <t>兒童魚油軟糖</t>
        </is>
      </c>
      <c r="D47" s="43" t="inlineStr">
        <is>
          <t>B0G7SGXFC1</t>
        </is>
      </c>
      <c r="E47" s="43" t="inlineStr">
        <is>
          <t>B0G7K4CHWG</t>
        </is>
      </c>
      <c r="F47" s="42" t="inlineStr">
        <is>
          <t>SB_Kids Fish Oil Gummies_child dha gummies_B0G7K4CHWG_199</t>
        </is>
      </c>
      <c r="G47" s="45" t="n">
        <v>17.99</v>
      </c>
      <c r="H47" s="12" t="n">
        <v>1</v>
      </c>
      <c r="I47" s="12" t="n">
        <v>1</v>
      </c>
      <c r="J47" s="45" t="n">
        <v>17.99</v>
      </c>
      <c r="K47" s="101" t="n">
        <v>1</v>
      </c>
    </row>
    <row r="48" ht="15" customHeight="1">
      <c r="A48" s="43" t="inlineStr">
        <is>
          <t>W1</t>
        </is>
      </c>
      <c r="B48" s="161" t="inlineStr">
        <is>
          <t>02/07</t>
        </is>
      </c>
      <c r="C48" s="162" t="inlineStr">
        <is>
          <t>兒童魚油軟糖</t>
        </is>
      </c>
      <c r="D48" s="43" t="inlineStr">
        <is>
          <t>B0G7SGXFC1</t>
        </is>
      </c>
      <c r="E48" s="43" t="inlineStr">
        <is>
          <t>B0G7K4CHWG</t>
        </is>
      </c>
      <c r="F48" s="42" t="inlineStr">
        <is>
          <t>SB_Kids Fish Oil Gummies_toddler fish oil gummies_B0G7K4CHWG_199</t>
        </is>
      </c>
      <c r="G48" s="45" t="n">
        <v>17.99</v>
      </c>
      <c r="H48" s="12" t="n">
        <v>1</v>
      </c>
      <c r="I48" s="12" t="n">
        <v>1</v>
      </c>
      <c r="J48" s="45" t="n">
        <v>17.99</v>
      </c>
      <c r="K48" s="101" t="n">
        <v>1</v>
      </c>
    </row>
    <row r="49" ht="15" customHeight="1">
      <c r="A49" s="43" t="inlineStr">
        <is>
          <t>W1</t>
        </is>
      </c>
      <c r="B49" s="161" t="inlineStr">
        <is>
          <t>02/07</t>
        </is>
      </c>
      <c r="C49" s="162" t="inlineStr">
        <is>
          <t>兒童魚油軟糖</t>
        </is>
      </c>
      <c r="D49" s="43" t="inlineStr">
        <is>
          <t>B0G7SGXFC1</t>
        </is>
      </c>
      <c r="E49" s="43" t="inlineStr">
        <is>
          <t>B0G7K4CHWG</t>
        </is>
      </c>
      <c r="F49" s="42" t="inlineStr">
        <is>
          <t>SB_Kids Fish Oil Gummies_toddler dha chewables_B0G7K4CHWG_199</t>
        </is>
      </c>
      <c r="G49" s="45" t="n">
        <v>17.99</v>
      </c>
      <c r="H49" s="12" t="n">
        <v>1</v>
      </c>
      <c r="I49" s="12" t="n">
        <v>1</v>
      </c>
      <c r="J49" s="45" t="n">
        <v>17.99</v>
      </c>
      <c r="K49" s="101" t="n">
        <v>1</v>
      </c>
    </row>
    <row r="50" ht="16" customHeight="1">
      <c r="A50" s="163" t="inlineStr">
        <is>
          <t xml:space="preserve">  W2 — Feb 8–14  |  37 筆  |  Sales $1,081  Orders 37  NTB $919</t>
        </is>
      </c>
    </row>
    <row r="51" ht="15" customHeight="1">
      <c r="A51" s="50" t="inlineStr">
        <is>
          <t>W2</t>
        </is>
      </c>
      <c r="B51" s="164" t="inlineStr">
        <is>
          <t>02/08</t>
        </is>
      </c>
      <c r="C51" s="165" t="inlineStr">
        <is>
          <t>納豆激酶</t>
        </is>
      </c>
      <c r="D51" s="50" t="inlineStr">
        <is>
          <t>B0DTV2XP8T</t>
        </is>
      </c>
      <c r="E51" s="50" t="inlineStr">
        <is>
          <t>B0DTYCNVQV</t>
        </is>
      </c>
      <c r="F51" s="49" t="inlineStr">
        <is>
          <t>SB_BROAD_aged natto extract_111025</t>
        </is>
      </c>
      <c r="G51" s="52" t="n">
        <v>27.99</v>
      </c>
      <c r="H51" s="14" t="n">
        <v>1</v>
      </c>
      <c r="I51" s="14" t="n">
        <v>1</v>
      </c>
      <c r="J51" s="52" t="n">
        <v>27.99</v>
      </c>
      <c r="K51" s="104" t="n">
        <v>1</v>
      </c>
    </row>
    <row r="52" ht="15" customHeight="1">
      <c r="A52" s="50" t="inlineStr">
        <is>
          <t>W2</t>
        </is>
      </c>
      <c r="B52" s="164" t="inlineStr">
        <is>
          <t>02/08</t>
        </is>
      </c>
      <c r="C52" s="165" t="inlineStr">
        <is>
          <t>納豆激酶</t>
        </is>
      </c>
      <c r="D52" s="50" t="inlineStr">
        <is>
          <t>B0DTV2XP8T</t>
        </is>
      </c>
      <c r="E52" s="50" t="inlineStr">
        <is>
          <t>B0DTYCNVQV</t>
        </is>
      </c>
      <c r="F52" s="49" t="inlineStr">
        <is>
          <t>SB_BROAD_nattokinase supplement_111125</t>
        </is>
      </c>
      <c r="G52" s="52" t="n">
        <v>27.99</v>
      </c>
      <c r="H52" s="14" t="n">
        <v>1</v>
      </c>
      <c r="I52" s="14" t="n">
        <v>1</v>
      </c>
      <c r="J52" s="52" t="n">
        <v>27.99</v>
      </c>
      <c r="K52" s="104" t="n">
        <v>1</v>
      </c>
    </row>
    <row r="53" ht="15" customHeight="1">
      <c r="A53" s="50" t="inlineStr">
        <is>
          <t>W2</t>
        </is>
      </c>
      <c r="B53" s="164" t="inlineStr">
        <is>
          <t>02/08</t>
        </is>
      </c>
      <c r="C53" s="165" t="inlineStr">
        <is>
          <t>納豆激酶</t>
        </is>
      </c>
      <c r="D53" s="50" t="inlineStr">
        <is>
          <t>B0DTV2XP8T</t>
        </is>
      </c>
      <c r="E53" s="50" t="inlineStr">
        <is>
          <t>B0DTYLYN6B</t>
        </is>
      </c>
      <c r="F53" s="49" t="inlineStr">
        <is>
          <t>SB_BROAD_nattokinase extract_111325</t>
        </is>
      </c>
      <c r="G53" s="52" t="n">
        <v>53.19</v>
      </c>
      <c r="H53" s="14" t="n">
        <v>1</v>
      </c>
      <c r="I53" s="14" t="n">
        <v>1</v>
      </c>
      <c r="J53" s="52" t="n">
        <v>53.19</v>
      </c>
      <c r="K53" s="104" t="n">
        <v>1</v>
      </c>
    </row>
    <row r="54" ht="15" customHeight="1">
      <c r="A54" s="50" t="inlineStr">
        <is>
          <t>W2</t>
        </is>
      </c>
      <c r="B54" s="164" t="inlineStr">
        <is>
          <t>02/08</t>
        </is>
      </c>
      <c r="C54" s="165" t="inlineStr">
        <is>
          <t>納豆激酶</t>
        </is>
      </c>
      <c r="D54" s="50" t="inlineStr">
        <is>
          <t>B0DTV2XP8T</t>
        </is>
      </c>
      <c r="E54" s="50" t="inlineStr">
        <is>
          <t>B0DTYCNVQV</t>
        </is>
      </c>
      <c r="F54" s="49" t="inlineStr">
        <is>
          <t>SB_BROAD_nattokinase supplement vegan_111325</t>
        </is>
      </c>
      <c r="G54" s="52" t="n">
        <v>27.99</v>
      </c>
      <c r="H54" s="14" t="n">
        <v>1</v>
      </c>
      <c r="I54" s="14" t="n">
        <v>1</v>
      </c>
      <c r="J54" s="52" t="n">
        <v>27.99</v>
      </c>
      <c r="K54" s="104" t="n">
        <v>1</v>
      </c>
    </row>
    <row r="55" ht="15" customHeight="1">
      <c r="A55" s="50" t="inlineStr">
        <is>
          <t>W2</t>
        </is>
      </c>
      <c r="B55" s="164" t="inlineStr">
        <is>
          <t>02/08</t>
        </is>
      </c>
      <c r="C55" s="165" t="inlineStr">
        <is>
          <t>納豆激酶</t>
        </is>
      </c>
      <c r="D55" s="50" t="inlineStr">
        <is>
          <t>B0DTV2XP8T</t>
        </is>
      </c>
      <c r="E55" s="50" t="inlineStr">
        <is>
          <t>B0DTYCNVQV</t>
        </is>
      </c>
      <c r="F55" s="49" t="inlineStr">
        <is>
          <t>SB_BROAD_nattokinase extract_111325</t>
        </is>
      </c>
      <c r="G55" s="52" t="n">
        <v>27.99</v>
      </c>
      <c r="H55" s="14" t="n">
        <v>1</v>
      </c>
      <c r="I55" s="14" t="n">
        <v>1</v>
      </c>
      <c r="J55" s="52" t="n">
        <v>27.99</v>
      </c>
      <c r="K55" s="104" t="n">
        <v>1</v>
      </c>
    </row>
    <row r="56" ht="15" customHeight="1">
      <c r="A56" s="50" t="inlineStr">
        <is>
          <t>W2</t>
        </is>
      </c>
      <c r="B56" s="164" t="inlineStr">
        <is>
          <t>02/08</t>
        </is>
      </c>
      <c r="C56" s="165" t="inlineStr">
        <is>
          <t>成人頂級魚油</t>
        </is>
      </c>
      <c r="D56" s="50" t="inlineStr">
        <is>
          <t>B0DYHLCY51</t>
        </is>
      </c>
      <c r="E56" s="50" t="inlineStr">
        <is>
          <t>B0DTTHJCRL</t>
        </is>
      </c>
      <c r="F56" s="49" t="inlineStr">
        <is>
          <t>SB_Kids Fish Oil Gummies_children omega 3 no mercury_B0G7K4CHWG_199</t>
        </is>
      </c>
      <c r="G56" s="52" t="n">
        <v>26.99</v>
      </c>
      <c r="H56" s="14" t="n">
        <v>1</v>
      </c>
      <c r="I56" s="14" t="n">
        <v>1</v>
      </c>
      <c r="J56" s="52" t="n">
        <v>26.99</v>
      </c>
      <c r="K56" s="104" t="n">
        <v>1</v>
      </c>
    </row>
    <row r="57" ht="15" customHeight="1">
      <c r="A57" s="50" t="inlineStr">
        <is>
          <t>W2</t>
        </is>
      </c>
      <c r="B57" s="164" t="inlineStr">
        <is>
          <t>02/08</t>
        </is>
      </c>
      <c r="C57" s="165" t="inlineStr">
        <is>
          <t>苦瓜酵素</t>
        </is>
      </c>
      <c r="D57" s="50" t="inlineStr">
        <is>
          <t>B0FF4WBTWX</t>
        </is>
      </c>
      <c r="E57" s="50" t="inlineStr">
        <is>
          <t>B0DV3VX26C</t>
        </is>
      </c>
      <c r="F57" s="49" t="inlineStr">
        <is>
          <t>Bitter Melon - SBV - B0CPSQYJK4 - SPM - BX</t>
        </is>
      </c>
      <c r="G57" s="52" t="n">
        <v>27.49</v>
      </c>
      <c r="H57" s="14" t="n">
        <v>1</v>
      </c>
      <c r="I57" s="14" t="n">
        <v>1</v>
      </c>
      <c r="J57" s="52" t="n">
        <v>27.49</v>
      </c>
      <c r="K57" s="104" t="n">
        <v>1</v>
      </c>
    </row>
    <row r="58" ht="15" customHeight="1">
      <c r="A58" s="50" t="inlineStr">
        <is>
          <t>W2</t>
        </is>
      </c>
      <c r="B58" s="164" t="inlineStr">
        <is>
          <t>02/08</t>
        </is>
      </c>
      <c r="C58" s="165" t="inlineStr">
        <is>
          <t>兒童魚油軟糖</t>
        </is>
      </c>
      <c r="D58" s="50" t="inlineStr">
        <is>
          <t>B0G7SGXFC1</t>
        </is>
      </c>
      <c r="E58" s="50" t="inlineStr">
        <is>
          <t>B0G7K4CHWG</t>
        </is>
      </c>
      <c r="F58" s="49" t="inlineStr">
        <is>
          <t>SB_Kids Fish Oil Gummies_kids fish oil gummies_B0G7K4CHWG_199</t>
        </is>
      </c>
      <c r="G58" s="52" t="n">
        <v>17.99</v>
      </c>
      <c r="H58" s="14" t="n">
        <v>1</v>
      </c>
      <c r="I58" s="14" t="n">
        <v>1</v>
      </c>
      <c r="J58" s="52" t="n">
        <v>17.99</v>
      </c>
      <c r="K58" s="104" t="n">
        <v>1</v>
      </c>
    </row>
    <row r="59" ht="15" customHeight="1">
      <c r="A59" s="50" t="inlineStr">
        <is>
          <t>W2</t>
        </is>
      </c>
      <c r="B59" s="164" t="inlineStr">
        <is>
          <t>02/08</t>
        </is>
      </c>
      <c r="C59" s="165" t="inlineStr">
        <is>
          <t>兒童魚油軟糖</t>
        </is>
      </c>
      <c r="D59" s="50" t="inlineStr">
        <is>
          <t>B0G7SGXFC1</t>
        </is>
      </c>
      <c r="E59" s="50" t="inlineStr">
        <is>
          <t>B0G7K4CHWG</t>
        </is>
      </c>
      <c r="F59" s="49" t="inlineStr">
        <is>
          <t>SB_Kids Fish Oil Gummies_children omega 3 immune support_B0G7K4CHWG_199</t>
        </is>
      </c>
      <c r="G59" s="52" t="n">
        <v>17.99</v>
      </c>
      <c r="H59" s="14" t="n">
        <v>1</v>
      </c>
      <c r="I59" s="14" t="n">
        <v>1</v>
      </c>
      <c r="J59" s="52" t="n">
        <v>17.99</v>
      </c>
      <c r="K59" s="104" t="n">
        <v>1</v>
      </c>
    </row>
    <row r="60" ht="15" customHeight="1">
      <c r="A60" s="50" t="inlineStr">
        <is>
          <t>W2</t>
        </is>
      </c>
      <c r="B60" s="164" t="inlineStr">
        <is>
          <t>02/09</t>
        </is>
      </c>
      <c r="C60" s="165" t="inlineStr">
        <is>
          <t>瑪卡粉</t>
        </is>
      </c>
      <c r="D60" s="50" t="inlineStr">
        <is>
          <t>B09Y8VBQTV</t>
        </is>
      </c>
      <c r="E60" s="50" t="inlineStr">
        <is>
          <t>B09Y8VBQTV</t>
        </is>
      </c>
      <c r="F60" s="49" t="inlineStr">
        <is>
          <t>Maca Powder - SBV - B09Y8VBQTV - Manual - BX</t>
        </is>
      </c>
      <c r="G60" s="52" t="n">
        <v>23.39</v>
      </c>
      <c r="H60" s="14" t="n">
        <v>1</v>
      </c>
      <c r="I60" s="14" t="n">
        <v>1</v>
      </c>
      <c r="J60" s="52" t="n">
        <v>0</v>
      </c>
      <c r="K60" s="104" t="n">
        <v>0</v>
      </c>
    </row>
    <row r="61" ht="15" customHeight="1">
      <c r="A61" s="50" t="inlineStr">
        <is>
          <t>W2</t>
        </is>
      </c>
      <c r="B61" s="164" t="inlineStr">
        <is>
          <t>02/09</t>
        </is>
      </c>
      <c r="C61" s="165" t="inlineStr">
        <is>
          <t>納豆激酶</t>
        </is>
      </c>
      <c r="D61" s="50" t="inlineStr">
        <is>
          <t>B0DTV2XP8T</t>
        </is>
      </c>
      <c r="E61" s="50" t="inlineStr">
        <is>
          <t>B0DTYLYN6B</t>
        </is>
      </c>
      <c r="F61" s="49" t="inlineStr">
        <is>
          <t>SB_BROAD_aged natto extract_111025</t>
        </is>
      </c>
      <c r="G61" s="52" t="n">
        <v>53.19</v>
      </c>
      <c r="H61" s="14" t="n">
        <v>1</v>
      </c>
      <c r="I61" s="14" t="n">
        <v>1</v>
      </c>
      <c r="J61" s="52" t="n">
        <v>53.19</v>
      </c>
      <c r="K61" s="104" t="n">
        <v>1</v>
      </c>
    </row>
    <row r="62" ht="15" customHeight="1">
      <c r="A62" s="50" t="inlineStr">
        <is>
          <t>W2</t>
        </is>
      </c>
      <c r="B62" s="164" t="inlineStr">
        <is>
          <t>02/09</t>
        </is>
      </c>
      <c r="C62" s="165" t="inlineStr">
        <is>
          <t>納豆激酶</t>
        </is>
      </c>
      <c r="D62" s="50" t="inlineStr">
        <is>
          <t>B0DTV2XP8T</t>
        </is>
      </c>
      <c r="E62" s="50" t="inlineStr">
        <is>
          <t>B0DTYCNVQV</t>
        </is>
      </c>
      <c r="F62" s="49" t="inlineStr">
        <is>
          <t>SB_BROAD_nattokinase supplement_111125</t>
        </is>
      </c>
      <c r="G62" s="52" t="n">
        <v>27.99</v>
      </c>
      <c r="H62" s="14" t="n">
        <v>1</v>
      </c>
      <c r="I62" s="14" t="n">
        <v>1</v>
      </c>
      <c r="J62" s="52" t="n">
        <v>27.99</v>
      </c>
      <c r="K62" s="104" t="n">
        <v>1</v>
      </c>
    </row>
    <row r="63" ht="15" customHeight="1">
      <c r="A63" s="50" t="inlineStr">
        <is>
          <t>W2</t>
        </is>
      </c>
      <c r="B63" s="164" t="inlineStr">
        <is>
          <t>02/09</t>
        </is>
      </c>
      <c r="C63" s="165" t="inlineStr">
        <is>
          <t>苦瓜酵素</t>
        </is>
      </c>
      <c r="D63" s="50" t="inlineStr">
        <is>
          <t>B0FF4WBTWX</t>
        </is>
      </c>
      <c r="E63" s="50" t="inlineStr">
        <is>
          <t>B0DV3VX26C</t>
        </is>
      </c>
      <c r="F63" s="49" t="inlineStr">
        <is>
          <t>Bitter Melon - SBV - B0CPSQYJK4 - SPM - BX</t>
        </is>
      </c>
      <c r="G63" s="52" t="n">
        <v>27.49</v>
      </c>
      <c r="H63" s="14" t="n">
        <v>1</v>
      </c>
      <c r="I63" s="14" t="n">
        <v>1</v>
      </c>
      <c r="J63" s="52" t="n">
        <v>27.49</v>
      </c>
      <c r="K63" s="104" t="n">
        <v>1</v>
      </c>
    </row>
    <row r="64" ht="15" customHeight="1">
      <c r="A64" s="50" t="inlineStr">
        <is>
          <t>W2</t>
        </is>
      </c>
      <c r="B64" s="164" t="inlineStr">
        <is>
          <t>02/09</t>
        </is>
      </c>
      <c r="C64" s="165" t="inlineStr">
        <is>
          <t>兒童魚油軟糖</t>
        </is>
      </c>
      <c r="D64" s="50" t="inlineStr">
        <is>
          <t>B0G7SGXFC1</t>
        </is>
      </c>
      <c r="E64" s="50" t="inlineStr">
        <is>
          <t>B0G7K4CHWG</t>
        </is>
      </c>
      <c r="F64" s="49" t="inlineStr">
        <is>
          <t>SB_Kids Fish Oil Gummies_children fish oil liquid_B0G7K4CHWG_199</t>
        </is>
      </c>
      <c r="G64" s="52" t="n">
        <v>17.99</v>
      </c>
      <c r="H64" s="14" t="n">
        <v>1</v>
      </c>
      <c r="I64" s="14" t="n">
        <v>1</v>
      </c>
      <c r="J64" s="52" t="n">
        <v>17.99</v>
      </c>
      <c r="K64" s="104" t="n">
        <v>1</v>
      </c>
    </row>
    <row r="65" ht="15" customHeight="1">
      <c r="A65" s="50" t="inlineStr">
        <is>
          <t>W2</t>
        </is>
      </c>
      <c r="B65" s="164" t="inlineStr">
        <is>
          <t>02/10</t>
        </is>
      </c>
      <c r="C65" s="165" t="inlineStr">
        <is>
          <t>苦瓜酵素</t>
        </is>
      </c>
      <c r="D65" s="50" t="inlineStr">
        <is>
          <t>B0FF4WBTWX</t>
        </is>
      </c>
      <c r="E65" s="50" t="inlineStr">
        <is>
          <t>B0DV3VX26C</t>
        </is>
      </c>
      <c r="F65" s="49" t="inlineStr">
        <is>
          <t>Bitter Melon - SBV - B0CPSQYJK4 - SPM - BX</t>
        </is>
      </c>
      <c r="G65" s="52" t="n">
        <v>27.49</v>
      </c>
      <c r="H65" s="14" t="n">
        <v>1</v>
      </c>
      <c r="I65" s="14" t="n">
        <v>1</v>
      </c>
      <c r="J65" s="52" t="n">
        <v>27.49</v>
      </c>
      <c r="K65" s="104" t="n">
        <v>1</v>
      </c>
    </row>
    <row r="66" ht="15" customHeight="1">
      <c r="A66" s="50" t="inlineStr">
        <is>
          <t>W2</t>
        </is>
      </c>
      <c r="B66" s="164" t="inlineStr">
        <is>
          <t>02/10</t>
        </is>
      </c>
      <c r="C66" s="165" t="inlineStr">
        <is>
          <t>兒童魚油軟糖</t>
        </is>
      </c>
      <c r="D66" s="50" t="inlineStr">
        <is>
          <t>B0G7SGXFC1</t>
        </is>
      </c>
      <c r="E66" s="50" t="inlineStr">
        <is>
          <t>B0G7K4CHWG</t>
        </is>
      </c>
      <c r="F66" s="49" t="inlineStr">
        <is>
          <t>SB_Kids Fish Oil Gummies_kids dha third party tested_B0G7K4CHWG_188</t>
        </is>
      </c>
      <c r="G66" s="52" t="n">
        <v>17.99</v>
      </c>
      <c r="H66" s="14" t="n">
        <v>1</v>
      </c>
      <c r="I66" s="14" t="n">
        <v>1</v>
      </c>
      <c r="J66" s="52" t="n">
        <v>17.99</v>
      </c>
      <c r="K66" s="104" t="n">
        <v>1</v>
      </c>
    </row>
    <row r="67" ht="15" customHeight="1">
      <c r="A67" s="50" t="inlineStr">
        <is>
          <t>W2</t>
        </is>
      </c>
      <c r="B67" s="164" t="inlineStr">
        <is>
          <t>02/10</t>
        </is>
      </c>
      <c r="C67" s="165" t="inlineStr">
        <is>
          <t>兒童魚油軟糖</t>
        </is>
      </c>
      <c r="D67" s="50" t="inlineStr">
        <is>
          <t>B0G7SGXFC1</t>
        </is>
      </c>
      <c r="E67" s="50" t="inlineStr">
        <is>
          <t>B0G7K4CHWG</t>
        </is>
      </c>
      <c r="F67" s="49" t="inlineStr">
        <is>
          <t>SB_Kids Fish Oil Gummies_baby fish oil_B0G7K4CHWG_135</t>
        </is>
      </c>
      <c r="G67" s="52" t="n">
        <v>17.99</v>
      </c>
      <c r="H67" s="14" t="n">
        <v>1</v>
      </c>
      <c r="I67" s="14" t="n">
        <v>1</v>
      </c>
      <c r="J67" s="52" t="n">
        <v>17.99</v>
      </c>
      <c r="K67" s="104" t="n">
        <v>1</v>
      </c>
    </row>
    <row r="68" ht="15" customHeight="1">
      <c r="A68" s="50" t="inlineStr">
        <is>
          <t>W2</t>
        </is>
      </c>
      <c r="B68" s="164" t="inlineStr">
        <is>
          <t>02/11</t>
        </is>
      </c>
      <c r="C68" s="165" t="inlineStr">
        <is>
          <t>納豆激酶</t>
        </is>
      </c>
      <c r="D68" s="50" t="inlineStr">
        <is>
          <t>B0DTV2XP8T</t>
        </is>
      </c>
      <c r="E68" s="50" t="inlineStr">
        <is>
          <t>B0DTYCNVQV</t>
        </is>
      </c>
      <c r="F68" s="49" t="inlineStr">
        <is>
          <t>SB_nattokinase gummies adult supp_1103_1109</t>
        </is>
      </c>
      <c r="G68" s="52" t="n">
        <v>27.99</v>
      </c>
      <c r="H68" s="14" t="n">
        <v>1</v>
      </c>
      <c r="I68" s="14" t="n">
        <v>1</v>
      </c>
      <c r="J68" s="52" t="n">
        <v>27.99</v>
      </c>
      <c r="K68" s="104" t="n">
        <v>1</v>
      </c>
    </row>
    <row r="69" ht="15" customHeight="1">
      <c r="A69" s="50" t="inlineStr">
        <is>
          <t>W2</t>
        </is>
      </c>
      <c r="B69" s="164" t="inlineStr">
        <is>
          <t>02/11</t>
        </is>
      </c>
      <c r="C69" s="165" t="inlineStr">
        <is>
          <t>納豆激酶</t>
        </is>
      </c>
      <c r="D69" s="50" t="inlineStr">
        <is>
          <t>B0DTV2XP8T</t>
        </is>
      </c>
      <c r="E69" s="50" t="inlineStr">
        <is>
          <t>B0DTYLYN6B</t>
        </is>
      </c>
      <c r="F69" s="49" t="inlineStr">
        <is>
          <t>SB_BROAD_aged natto extract_111025</t>
        </is>
      </c>
      <c r="G69" s="52" t="n">
        <v>53.19</v>
      </c>
      <c r="H69" s="14" t="n">
        <v>1</v>
      </c>
      <c r="I69" s="14" t="n">
        <v>1</v>
      </c>
      <c r="J69" s="52" t="n">
        <v>53.19</v>
      </c>
      <c r="K69" s="104" t="n">
        <v>1</v>
      </c>
    </row>
    <row r="70" ht="15" customHeight="1">
      <c r="A70" s="50" t="inlineStr">
        <is>
          <t>W2</t>
        </is>
      </c>
      <c r="B70" s="164" t="inlineStr">
        <is>
          <t>02/11</t>
        </is>
      </c>
      <c r="C70" s="165" t="inlineStr">
        <is>
          <t>成人頂級魚油</t>
        </is>
      </c>
      <c r="D70" s="50" t="inlineStr">
        <is>
          <t>B0DYHLCY51</t>
        </is>
      </c>
      <c r="E70" s="50" t="inlineStr">
        <is>
          <t>B0DTTHJCRL</t>
        </is>
      </c>
      <c r="F70" s="49" t="inlineStr">
        <is>
          <t>SB_Kids Fish Oil Gummies_kids fish oil brain development_B0G7K4CHWG_199</t>
        </is>
      </c>
      <c r="G70" s="52" t="n">
        <v>26.99</v>
      </c>
      <c r="H70" s="14" t="n">
        <v>1</v>
      </c>
      <c r="I70" s="14" t="n">
        <v>1</v>
      </c>
      <c r="J70" s="52" t="n">
        <v>26.99</v>
      </c>
      <c r="K70" s="104" t="n">
        <v>1</v>
      </c>
    </row>
    <row r="71" ht="15" customHeight="1">
      <c r="A71" s="50" t="inlineStr">
        <is>
          <t>W2</t>
        </is>
      </c>
      <c r="B71" s="164" t="inlineStr">
        <is>
          <t>02/11</t>
        </is>
      </c>
      <c r="C71" s="165" t="inlineStr">
        <is>
          <t>苦瓜酵素</t>
        </is>
      </c>
      <c r="D71" s="50" t="inlineStr">
        <is>
          <t>B0FF4WBTWX</t>
        </is>
      </c>
      <c r="E71" s="50" t="inlineStr">
        <is>
          <t>B0DV3VX26C</t>
        </is>
      </c>
      <c r="F71" s="49" t="inlineStr">
        <is>
          <t>Bitter Melon - SBV - B0CPSQYJK4 - SPM - BX</t>
        </is>
      </c>
      <c r="G71" s="52" t="n">
        <v>27.49</v>
      </c>
      <c r="H71" s="14" t="n">
        <v>1</v>
      </c>
      <c r="I71" s="14" t="n">
        <v>1</v>
      </c>
      <c r="J71" s="52" t="n">
        <v>27.49</v>
      </c>
      <c r="K71" s="104" t="n">
        <v>1</v>
      </c>
    </row>
    <row r="72" ht="15" customHeight="1">
      <c r="A72" s="50" t="inlineStr">
        <is>
          <t>W2</t>
        </is>
      </c>
      <c r="B72" s="164" t="inlineStr">
        <is>
          <t>02/11</t>
        </is>
      </c>
      <c r="C72" s="165" t="inlineStr">
        <is>
          <t>葉黃素</t>
        </is>
      </c>
      <c r="D72" s="50" t="inlineStr">
        <is>
          <t>B0FKBLZB11</t>
        </is>
      </c>
      <c r="E72" s="50" t="inlineStr">
        <is>
          <t>B0FH6DDW63</t>
        </is>
      </c>
      <c r="F72" s="49" t="inlineStr">
        <is>
          <t>Lutein Softgels - SBV - B0CVT95T3M - BX</t>
        </is>
      </c>
      <c r="G72" s="52" t="n">
        <v>88.18000000000001</v>
      </c>
      <c r="H72" s="14" t="n">
        <v>1</v>
      </c>
      <c r="I72" s="14" t="n">
        <v>2</v>
      </c>
      <c r="J72" s="52" t="n">
        <v>0</v>
      </c>
      <c r="K72" s="104" t="n">
        <v>0</v>
      </c>
    </row>
    <row r="73" ht="15" customHeight="1">
      <c r="A73" s="50" t="inlineStr">
        <is>
          <t>W2</t>
        </is>
      </c>
      <c r="B73" s="164" t="inlineStr">
        <is>
          <t>02/11</t>
        </is>
      </c>
      <c r="C73" s="165" t="inlineStr">
        <is>
          <t>兒童魚油軟糖</t>
        </is>
      </c>
      <c r="D73" s="50" t="inlineStr">
        <is>
          <t>B0G7SGXFC1</t>
        </is>
      </c>
      <c r="E73" s="50" t="inlineStr">
        <is>
          <t>B0G7K1VC4G</t>
        </is>
      </c>
      <c r="F73" s="49" t="inlineStr">
        <is>
          <t>SB_Kids Fish Oil Gummies_children omega 3 immune support_B0G7K4CHWG_199</t>
        </is>
      </c>
      <c r="G73" s="52" t="n">
        <v>34.99</v>
      </c>
      <c r="H73" s="14" t="n">
        <v>1</v>
      </c>
      <c r="I73" s="14" t="n">
        <v>1</v>
      </c>
      <c r="J73" s="52" t="n">
        <v>34.99</v>
      </c>
      <c r="K73" s="104" t="n">
        <v>1</v>
      </c>
    </row>
    <row r="74" ht="15" customHeight="1">
      <c r="A74" s="50" t="inlineStr">
        <is>
          <t>W2</t>
        </is>
      </c>
      <c r="B74" s="164" t="inlineStr">
        <is>
          <t>02/12</t>
        </is>
      </c>
      <c r="C74" s="165" t="inlineStr">
        <is>
          <t>兒童魚油軟糖</t>
        </is>
      </c>
      <c r="D74" s="50" t="inlineStr">
        <is>
          <t>B0G7SGXFC1</t>
        </is>
      </c>
      <c r="E74" s="50" t="inlineStr">
        <is>
          <t>B0G7K4CHWG</t>
        </is>
      </c>
      <c r="F74" s="49" t="inlineStr">
        <is>
          <t>SB_Kids Fish Oil Gummies_omega 3 for 6 year old_B0G7K4CHWG_199</t>
        </is>
      </c>
      <c r="G74" s="52" t="n">
        <v>17.99</v>
      </c>
      <c r="H74" s="14" t="n">
        <v>1</v>
      </c>
      <c r="I74" s="14" t="n">
        <v>1</v>
      </c>
      <c r="J74" s="52" t="n">
        <v>17.99</v>
      </c>
      <c r="K74" s="104" t="n">
        <v>1</v>
      </c>
    </row>
    <row r="75" ht="15" customHeight="1">
      <c r="A75" s="50" t="inlineStr">
        <is>
          <t>W2</t>
        </is>
      </c>
      <c r="B75" s="164" t="inlineStr">
        <is>
          <t>02/12</t>
        </is>
      </c>
      <c r="C75" s="165" t="inlineStr">
        <is>
          <t>兒童魚油軟糖</t>
        </is>
      </c>
      <c r="D75" s="50" t="inlineStr">
        <is>
          <t>B0G7SGXFC1</t>
        </is>
      </c>
      <c r="E75" s="50" t="inlineStr">
        <is>
          <t>B0G7K4CHWG</t>
        </is>
      </c>
      <c r="F75" s="49" t="inlineStr">
        <is>
          <t>SB_Kids Fish Oil Gummies_toddler fish oil capsules_B0G7K4CHWG_188</t>
        </is>
      </c>
      <c r="G75" s="52" t="n">
        <v>17.99</v>
      </c>
      <c r="H75" s="14" t="n">
        <v>1</v>
      </c>
      <c r="I75" s="14" t="n">
        <v>1</v>
      </c>
      <c r="J75" s="52" t="n">
        <v>17.99</v>
      </c>
      <c r="K75" s="104" t="n">
        <v>1</v>
      </c>
    </row>
    <row r="76" ht="15" customHeight="1">
      <c r="A76" s="50" t="inlineStr">
        <is>
          <t>W2</t>
        </is>
      </c>
      <c r="B76" s="164" t="inlineStr">
        <is>
          <t>02/13</t>
        </is>
      </c>
      <c r="C76" s="165" t="inlineStr">
        <is>
          <t>瑪卡粉</t>
        </is>
      </c>
      <c r="D76" s="50" t="inlineStr">
        <is>
          <t>B09Y8VBQTV</t>
        </is>
      </c>
      <c r="E76" s="50" t="inlineStr">
        <is>
          <t>B09Y8VBQTV</t>
        </is>
      </c>
      <c r="F76" s="49" t="inlineStr">
        <is>
          <t>Maca Powder - SBV - B09Y8VBQTV - Manual - BX</t>
        </is>
      </c>
      <c r="G76" s="52" t="n">
        <v>23.39</v>
      </c>
      <c r="H76" s="14" t="n">
        <v>1</v>
      </c>
      <c r="I76" s="14" t="n">
        <v>1</v>
      </c>
      <c r="J76" s="52" t="n">
        <v>0</v>
      </c>
      <c r="K76" s="104" t="n">
        <v>0</v>
      </c>
    </row>
    <row r="77" ht="15" customHeight="1">
      <c r="A77" s="50" t="inlineStr">
        <is>
          <t>W2</t>
        </is>
      </c>
      <c r="B77" s="164" t="inlineStr">
        <is>
          <t>02/13</t>
        </is>
      </c>
      <c r="C77" s="165" t="inlineStr">
        <is>
          <t>納豆激酶</t>
        </is>
      </c>
      <c r="D77" s="50" t="inlineStr">
        <is>
          <t>B0DTV2XP8T</t>
        </is>
      </c>
      <c r="E77" s="50" t="inlineStr">
        <is>
          <t>B0DTYCNVQV</t>
        </is>
      </c>
      <c r="F77" s="49" t="inlineStr">
        <is>
          <t>SB_BROAD_aged natto extract_111025</t>
        </is>
      </c>
      <c r="G77" s="52" t="n">
        <v>27.99</v>
      </c>
      <c r="H77" s="14" t="n">
        <v>1</v>
      </c>
      <c r="I77" s="14" t="n">
        <v>1</v>
      </c>
      <c r="J77" s="52" t="n">
        <v>27.99</v>
      </c>
      <c r="K77" s="104" t="n">
        <v>1</v>
      </c>
    </row>
    <row r="78" ht="15" customHeight="1">
      <c r="A78" s="50" t="inlineStr">
        <is>
          <t>W2</t>
        </is>
      </c>
      <c r="B78" s="164" t="inlineStr">
        <is>
          <t>02/13</t>
        </is>
      </c>
      <c r="C78" s="165" t="inlineStr">
        <is>
          <t>成人頂級魚油</t>
        </is>
      </c>
      <c r="D78" s="50" t="inlineStr">
        <is>
          <t>B0DYHLCY51</t>
        </is>
      </c>
      <c r="E78" s="50" t="inlineStr">
        <is>
          <t>B0DTTHJCRL</t>
        </is>
      </c>
      <c r="F78" s="49" t="inlineStr">
        <is>
          <t>SB_Kids Fish Oil Gummies_children dha gummies_B0G7K4CHWG_188</t>
        </is>
      </c>
      <c r="G78" s="52" t="n">
        <v>26.99</v>
      </c>
      <c r="H78" s="14" t="n">
        <v>1</v>
      </c>
      <c r="I78" s="14" t="n">
        <v>1</v>
      </c>
      <c r="J78" s="52" t="n">
        <v>0</v>
      </c>
      <c r="K78" s="104" t="n">
        <v>0</v>
      </c>
    </row>
    <row r="79" ht="15" customHeight="1">
      <c r="A79" s="50" t="inlineStr">
        <is>
          <t>W2</t>
        </is>
      </c>
      <c r="B79" s="164" t="inlineStr">
        <is>
          <t>02/13</t>
        </is>
      </c>
      <c r="C79" s="165" t="inlineStr">
        <is>
          <t>兒童魚油軟糖</t>
        </is>
      </c>
      <c r="D79" s="50" t="inlineStr">
        <is>
          <t>B0G7SGXFC1</t>
        </is>
      </c>
      <c r="E79" s="50" t="inlineStr">
        <is>
          <t>B0G7K4CHWG</t>
        </is>
      </c>
      <c r="F79" s="49" t="inlineStr">
        <is>
          <t>SB_Kids Fish Oil Gummies_children omega 3 orange gummies_B0G7K4CHWG_199</t>
        </is>
      </c>
      <c r="G79" s="52" t="n">
        <v>17.99</v>
      </c>
      <c r="H79" s="14" t="n">
        <v>1</v>
      </c>
      <c r="I79" s="14" t="n">
        <v>1</v>
      </c>
      <c r="J79" s="52" t="n">
        <v>17.99</v>
      </c>
      <c r="K79" s="104" t="n">
        <v>1</v>
      </c>
    </row>
    <row r="80" ht="15" customHeight="1">
      <c r="A80" s="50" t="inlineStr">
        <is>
          <t>W2</t>
        </is>
      </c>
      <c r="B80" s="164" t="inlineStr">
        <is>
          <t>02/13</t>
        </is>
      </c>
      <c r="C80" s="165" t="inlineStr">
        <is>
          <t>兒童魚油軟糖</t>
        </is>
      </c>
      <c r="D80" s="50" t="inlineStr">
        <is>
          <t>B0G7SGXFC1</t>
        </is>
      </c>
      <c r="E80" s="50" t="inlineStr">
        <is>
          <t>B0G7K4CHWG</t>
        </is>
      </c>
      <c r="F80" s="49" t="inlineStr">
        <is>
          <t>SB_Kids Fish Oil Gummies_children dha immune support_B0G7K4CHWG_199</t>
        </is>
      </c>
      <c r="G80" s="52" t="n">
        <v>17.99</v>
      </c>
      <c r="H80" s="14" t="n">
        <v>1</v>
      </c>
      <c r="I80" s="14" t="n">
        <v>1</v>
      </c>
      <c r="J80" s="52" t="n">
        <v>17.99</v>
      </c>
      <c r="K80" s="104" t="n">
        <v>1</v>
      </c>
    </row>
    <row r="81" ht="15" customHeight="1">
      <c r="A81" s="50" t="inlineStr">
        <is>
          <t>W2</t>
        </is>
      </c>
      <c r="B81" s="164" t="inlineStr">
        <is>
          <t>02/14</t>
        </is>
      </c>
      <c r="C81" s="165" t="inlineStr">
        <is>
          <t>瑪卡粉</t>
        </is>
      </c>
      <c r="D81" s="50" t="inlineStr">
        <is>
          <t>B09Y8VBQTV</t>
        </is>
      </c>
      <c r="E81" s="50" t="inlineStr">
        <is>
          <t>B09Y8VBQTV</t>
        </is>
      </c>
      <c r="F81" s="49" t="inlineStr">
        <is>
          <t>Maca Powder - SBV - B09Y8VBQTV - Manual - BX</t>
        </is>
      </c>
      <c r="G81" s="52" t="n">
        <v>23.39</v>
      </c>
      <c r="H81" s="14" t="n">
        <v>1</v>
      </c>
      <c r="I81" s="14" t="n">
        <v>1</v>
      </c>
      <c r="J81" s="52" t="n">
        <v>23.39</v>
      </c>
      <c r="K81" s="104" t="n">
        <v>1</v>
      </c>
    </row>
    <row r="82" ht="15" customHeight="1">
      <c r="A82" s="50" t="inlineStr">
        <is>
          <t>W2</t>
        </is>
      </c>
      <c r="B82" s="164" t="inlineStr">
        <is>
          <t>02/14</t>
        </is>
      </c>
      <c r="C82" s="165" t="inlineStr">
        <is>
          <t>納豆激酶</t>
        </is>
      </c>
      <c r="D82" s="50" t="inlineStr">
        <is>
          <t>B0DTV2XP8T</t>
        </is>
      </c>
      <c r="E82" s="50" t="inlineStr">
        <is>
          <t>B0DTYCNVQV</t>
        </is>
      </c>
      <c r="F82" s="49" t="inlineStr">
        <is>
          <t>SB_BROAD_nattokinase supplement_111125</t>
        </is>
      </c>
      <c r="G82" s="52" t="n">
        <v>27.99</v>
      </c>
      <c r="H82" s="14" t="n">
        <v>1</v>
      </c>
      <c r="I82" s="14" t="n">
        <v>1</v>
      </c>
      <c r="J82" s="52" t="n">
        <v>27.99</v>
      </c>
      <c r="K82" s="104" t="n">
        <v>1</v>
      </c>
    </row>
    <row r="83" ht="15" customHeight="1">
      <c r="A83" s="50" t="inlineStr">
        <is>
          <t>W2</t>
        </is>
      </c>
      <c r="B83" s="164" t="inlineStr">
        <is>
          <t>02/14</t>
        </is>
      </c>
      <c r="C83" s="165" t="inlineStr">
        <is>
          <t>納豆激酶</t>
        </is>
      </c>
      <c r="D83" s="50" t="inlineStr">
        <is>
          <t>B0DTV2XP8T</t>
        </is>
      </c>
      <c r="E83" s="50" t="inlineStr">
        <is>
          <t>B0DTYLYN6B</t>
        </is>
      </c>
      <c r="F83" s="49" t="inlineStr">
        <is>
          <t>SB_BROAD_gluten free supplement_111025</t>
        </is>
      </c>
      <c r="G83" s="52" t="n">
        <v>53.19</v>
      </c>
      <c r="H83" s="14" t="n">
        <v>1</v>
      </c>
      <c r="I83" s="14" t="n">
        <v>1</v>
      </c>
      <c r="J83" s="52" t="n">
        <v>53.19</v>
      </c>
      <c r="K83" s="104" t="n">
        <v>1</v>
      </c>
    </row>
    <row r="84" ht="15" customHeight="1">
      <c r="A84" s="50" t="inlineStr">
        <is>
          <t>W2</t>
        </is>
      </c>
      <c r="B84" s="164" t="inlineStr">
        <is>
          <t>02/14</t>
        </is>
      </c>
      <c r="C84" s="165" t="inlineStr">
        <is>
          <t>苦瓜酵素</t>
        </is>
      </c>
      <c r="D84" s="50" t="inlineStr">
        <is>
          <t>B0FF4WBTWX</t>
        </is>
      </c>
      <c r="E84" s="50" t="inlineStr">
        <is>
          <t>B0DV3VX26C</t>
        </is>
      </c>
      <c r="F84" s="49" t="inlineStr">
        <is>
          <t>Bitter Melon - SBV - B0CPSQYJK4 - SPM - BX</t>
        </is>
      </c>
      <c r="G84" s="52" t="n">
        <v>27.49</v>
      </c>
      <c r="H84" s="14" t="n">
        <v>1</v>
      </c>
      <c r="I84" s="14" t="n">
        <v>1</v>
      </c>
      <c r="J84" s="52" t="n">
        <v>27.49</v>
      </c>
      <c r="K84" s="104" t="n">
        <v>1</v>
      </c>
    </row>
    <row r="85" ht="15" customHeight="1">
      <c r="A85" s="50" t="inlineStr">
        <is>
          <t>W2</t>
        </is>
      </c>
      <c r="B85" s="164" t="inlineStr">
        <is>
          <t>02/14</t>
        </is>
      </c>
      <c r="C85" s="165" t="inlineStr">
        <is>
          <t>兒童魚油軟糖</t>
        </is>
      </c>
      <c r="D85" s="50" t="inlineStr">
        <is>
          <t>B0G7SGXFC1</t>
        </is>
      </c>
      <c r="E85" s="50" t="inlineStr">
        <is>
          <t>B0G7K4CHWG</t>
        </is>
      </c>
      <c r="F85" s="49" t="inlineStr">
        <is>
          <t>SB_Kids Fish Oil Gummies_kids omega 3 mango gummies_B0G7K4CHWG_188</t>
        </is>
      </c>
      <c r="G85" s="52" t="n">
        <v>17.99</v>
      </c>
      <c r="H85" s="14" t="n">
        <v>1</v>
      </c>
      <c r="I85" s="14" t="n">
        <v>1</v>
      </c>
      <c r="J85" s="52" t="n">
        <v>17.99</v>
      </c>
      <c r="K85" s="104" t="n">
        <v>1</v>
      </c>
    </row>
    <row r="86" ht="15" customHeight="1">
      <c r="A86" s="50" t="inlineStr">
        <is>
          <t>W2</t>
        </is>
      </c>
      <c r="B86" s="164" t="inlineStr">
        <is>
          <t>02/14</t>
        </is>
      </c>
      <c r="C86" s="165" t="inlineStr">
        <is>
          <t>兒童魚油軟糖</t>
        </is>
      </c>
      <c r="D86" s="50" t="inlineStr">
        <is>
          <t>B0G7SGXFC1</t>
        </is>
      </c>
      <c r="E86" s="50" t="inlineStr">
        <is>
          <t>B0G7K4CHWG</t>
        </is>
      </c>
      <c r="F86" s="49" t="inlineStr">
        <is>
          <t>SB_Kids Fish Oil Gummies_toddler omega 3 immune support_B0G7K4CHWG_199</t>
        </is>
      </c>
      <c r="G86" s="52" t="n">
        <v>17.99</v>
      </c>
      <c r="H86" s="14" t="n">
        <v>1</v>
      </c>
      <c r="I86" s="14" t="n">
        <v>1</v>
      </c>
      <c r="J86" s="52" t="n">
        <v>17.99</v>
      </c>
      <c r="K86" s="104" t="n">
        <v>1</v>
      </c>
    </row>
    <row r="87" ht="15" customHeight="1">
      <c r="A87" s="50" t="inlineStr">
        <is>
          <t>W2</t>
        </is>
      </c>
      <c r="B87" s="164" t="inlineStr">
        <is>
          <t>02/14</t>
        </is>
      </c>
      <c r="C87" s="165" t="inlineStr">
        <is>
          <t>兒童魚油軟糖</t>
        </is>
      </c>
      <c r="D87" s="50" t="inlineStr">
        <is>
          <t>B0G7SGXFC1</t>
        </is>
      </c>
      <c r="E87" s="50" t="inlineStr">
        <is>
          <t>B0G7K1VC4G</t>
        </is>
      </c>
      <c r="F87" s="49" t="inlineStr">
        <is>
          <t>SB_Kids Fish Oil Gummies_vegan children dha gummies_B0G7K4CHWG_137</t>
        </is>
      </c>
      <c r="G87" s="52" t="n">
        <v>34.99</v>
      </c>
      <c r="H87" s="14" t="n">
        <v>1</v>
      </c>
      <c r="I87" s="14" t="n">
        <v>1</v>
      </c>
      <c r="J87" s="52" t="n">
        <v>34.99</v>
      </c>
      <c r="K87" s="104" t="n">
        <v>1</v>
      </c>
    </row>
    <row r="88" ht="16" customHeight="1">
      <c r="A88" s="166" t="inlineStr">
        <is>
          <t xml:space="preserve">  W3 — Feb 15–21  |  22 筆  |  Sales $750  Orders 24  NTB $699</t>
        </is>
      </c>
    </row>
    <row r="89" ht="15" customHeight="1">
      <c r="A89" s="57" t="inlineStr">
        <is>
          <t>W3</t>
        </is>
      </c>
      <c r="B89" s="167" t="inlineStr">
        <is>
          <t>02/15</t>
        </is>
      </c>
      <c r="C89" s="168" t="inlineStr">
        <is>
          <t>納豆激酶</t>
        </is>
      </c>
      <c r="D89" s="57" t="inlineStr">
        <is>
          <t>B0DTV2XP8T</t>
        </is>
      </c>
      <c r="E89" s="57" t="inlineStr">
        <is>
          <t>B0DTYLYN6B</t>
        </is>
      </c>
      <c r="F89" s="56" t="inlineStr">
        <is>
          <t>SB_BROAD_nattokinase powder_1111252</t>
        </is>
      </c>
      <c r="G89" s="59" t="n">
        <v>53.19</v>
      </c>
      <c r="H89" s="16" t="n">
        <v>1</v>
      </c>
      <c r="I89" s="16" t="n">
        <v>1</v>
      </c>
      <c r="J89" s="59" t="n">
        <v>53.19</v>
      </c>
      <c r="K89" s="107" t="n">
        <v>1</v>
      </c>
    </row>
    <row r="90" ht="15" customHeight="1">
      <c r="A90" s="57" t="inlineStr">
        <is>
          <t>W3</t>
        </is>
      </c>
      <c r="B90" s="167" t="inlineStr">
        <is>
          <t>02/15</t>
        </is>
      </c>
      <c r="C90" s="168" t="inlineStr">
        <is>
          <t>納豆激酶</t>
        </is>
      </c>
      <c r="D90" s="57" t="inlineStr">
        <is>
          <t>B0DTV2XP8T</t>
        </is>
      </c>
      <c r="E90" s="57" t="inlineStr">
        <is>
          <t>B0DTYCNVQV</t>
        </is>
      </c>
      <c r="F90" s="56" t="inlineStr">
        <is>
          <t>SB_BROAD_non gmo nattokinase_111025</t>
        </is>
      </c>
      <c r="G90" s="59" t="n">
        <v>27.99</v>
      </c>
      <c r="H90" s="16" t="n">
        <v>1</v>
      </c>
      <c r="I90" s="16" t="n">
        <v>1</v>
      </c>
      <c r="J90" s="59" t="n">
        <v>27.99</v>
      </c>
      <c r="K90" s="107" t="n">
        <v>1</v>
      </c>
    </row>
    <row r="91" ht="15" customHeight="1">
      <c r="A91" s="57" t="inlineStr">
        <is>
          <t>W3</t>
        </is>
      </c>
      <c r="B91" s="167" t="inlineStr">
        <is>
          <t>02/15</t>
        </is>
      </c>
      <c r="C91" s="168" t="inlineStr">
        <is>
          <t>兒童魚油軟糖</t>
        </is>
      </c>
      <c r="D91" s="57" t="inlineStr">
        <is>
          <t>B0G7SGXFC1</t>
        </is>
      </c>
      <c r="E91" s="57" t="inlineStr">
        <is>
          <t>B0G7K4CHWG</t>
        </is>
      </c>
      <c r="F91" s="56" t="inlineStr">
        <is>
          <t>SB_Kids Fish Oil Gummies_toddler omega gummy_B0G7K4CHWG_125</t>
        </is>
      </c>
      <c r="G91" s="59" t="n">
        <v>17.99</v>
      </c>
      <c r="H91" s="16" t="n">
        <v>1</v>
      </c>
      <c r="I91" s="16" t="n">
        <v>1</v>
      </c>
      <c r="J91" s="59" t="n">
        <v>17.99</v>
      </c>
      <c r="K91" s="107" t="n">
        <v>1</v>
      </c>
    </row>
    <row r="92" ht="15" customHeight="1">
      <c r="A92" s="57" t="inlineStr">
        <is>
          <t>W3</t>
        </is>
      </c>
      <c r="B92" s="167" t="inlineStr">
        <is>
          <t>02/16</t>
        </is>
      </c>
      <c r="C92" s="168" t="inlineStr">
        <is>
          <t>納豆激酶</t>
        </is>
      </c>
      <c r="D92" s="57" t="inlineStr">
        <is>
          <t>B0DTV2XP8T</t>
        </is>
      </c>
      <c r="E92" s="57" t="inlineStr">
        <is>
          <t>B0DTYLYN6B</t>
        </is>
      </c>
      <c r="F92" s="56" t="inlineStr">
        <is>
          <t>SB_BROAD_nattokinase pure_111025</t>
        </is>
      </c>
      <c r="G92" s="59" t="n">
        <v>50.53</v>
      </c>
      <c r="H92" s="16" t="n">
        <v>1</v>
      </c>
      <c r="I92" s="16" t="n">
        <v>1</v>
      </c>
      <c r="J92" s="59" t="n">
        <v>50.53</v>
      </c>
      <c r="K92" s="107" t="n">
        <v>1</v>
      </c>
    </row>
    <row r="93" ht="15" customHeight="1">
      <c r="A93" s="57" t="inlineStr">
        <is>
          <t>W3</t>
        </is>
      </c>
      <c r="B93" s="167" t="inlineStr">
        <is>
          <t>02/16</t>
        </is>
      </c>
      <c r="C93" s="168" t="inlineStr">
        <is>
          <t>納豆激酶</t>
        </is>
      </c>
      <c r="D93" s="57" t="inlineStr">
        <is>
          <t>B0DTV2XP8T</t>
        </is>
      </c>
      <c r="E93" s="57" t="inlineStr">
        <is>
          <t>B0DTYCNVQV</t>
        </is>
      </c>
      <c r="F93" s="56" t="inlineStr">
        <is>
          <t>SB_BROAD_nattokinase capsules 100mg_110525_1</t>
        </is>
      </c>
      <c r="G93" s="59" t="n">
        <v>27.99</v>
      </c>
      <c r="H93" s="16" t="n">
        <v>1</v>
      </c>
      <c r="I93" s="16" t="n">
        <v>1</v>
      </c>
      <c r="J93" s="59" t="n">
        <v>27.99</v>
      </c>
      <c r="K93" s="107" t="n">
        <v>1</v>
      </c>
    </row>
    <row r="94" ht="15" customHeight="1">
      <c r="A94" s="57" t="inlineStr">
        <is>
          <t>W3</t>
        </is>
      </c>
      <c r="B94" s="167" t="inlineStr">
        <is>
          <t>02/17</t>
        </is>
      </c>
      <c r="C94" s="168" t="inlineStr">
        <is>
          <t>納豆激酶</t>
        </is>
      </c>
      <c r="D94" s="57" t="inlineStr">
        <is>
          <t>B0DTV2XP8T</t>
        </is>
      </c>
      <c r="E94" s="57" t="inlineStr">
        <is>
          <t>B0DTYCNVQV</t>
        </is>
      </c>
      <c r="F94" s="56" t="inlineStr">
        <is>
          <t>SB_BROAD_B0DTYCNVQV_AUDIENCE10_nattokinase tablets 120 count</t>
        </is>
      </c>
      <c r="G94" s="59" t="n">
        <v>55.98</v>
      </c>
      <c r="H94" s="16" t="n">
        <v>2</v>
      </c>
      <c r="I94" s="16" t="n">
        <v>2</v>
      </c>
      <c r="J94" s="59" t="n">
        <v>27.99</v>
      </c>
      <c r="K94" s="107" t="n">
        <v>1</v>
      </c>
    </row>
    <row r="95" ht="15" customHeight="1">
      <c r="A95" s="57" t="inlineStr">
        <is>
          <t>W3</t>
        </is>
      </c>
      <c r="B95" s="167" t="inlineStr">
        <is>
          <t>02/17</t>
        </is>
      </c>
      <c r="C95" s="168" t="inlineStr">
        <is>
          <t>兒童魚油軟糖</t>
        </is>
      </c>
      <c r="D95" s="57" t="inlineStr">
        <is>
          <t>B0G7SGXFC1</t>
        </is>
      </c>
      <c r="E95" s="57" t="inlineStr">
        <is>
          <t>B0G7K4CHWG</t>
        </is>
      </c>
      <c r="F95" s="56" t="inlineStr">
        <is>
          <t>SB_Kids Fish Oil Gummies_kids fish oil immune support_B0G7K4CHWG_199</t>
        </is>
      </c>
      <c r="G95" s="59" t="n">
        <v>17.99</v>
      </c>
      <c r="H95" s="16" t="n">
        <v>1</v>
      </c>
      <c r="I95" s="16" t="n">
        <v>1</v>
      </c>
      <c r="J95" s="59" t="n">
        <v>17.99</v>
      </c>
      <c r="K95" s="107" t="n">
        <v>1</v>
      </c>
    </row>
    <row r="96" ht="15" customHeight="1">
      <c r="A96" s="57" t="inlineStr">
        <is>
          <t>W3</t>
        </is>
      </c>
      <c r="B96" s="167" t="inlineStr">
        <is>
          <t>02/18</t>
        </is>
      </c>
      <c r="C96" s="168" t="inlineStr">
        <is>
          <t>納豆激酶</t>
        </is>
      </c>
      <c r="D96" s="57" t="inlineStr">
        <is>
          <t>B0DTV2XP8T</t>
        </is>
      </c>
      <c r="E96" s="57" t="inlineStr">
        <is>
          <t>B0DTYCNVQV</t>
        </is>
      </c>
      <c r="F96" s="56" t="inlineStr">
        <is>
          <t>SB_BROAD_professional grade nattokinase_110525_1</t>
        </is>
      </c>
      <c r="G96" s="59" t="n">
        <v>27.99</v>
      </c>
      <c r="H96" s="16" t="n">
        <v>1</v>
      </c>
      <c r="I96" s="16" t="n">
        <v>1</v>
      </c>
      <c r="J96" s="59" t="n">
        <v>27.99</v>
      </c>
      <c r="K96" s="107" t="n">
        <v>1</v>
      </c>
    </row>
    <row r="97" ht="15" customHeight="1">
      <c r="A97" s="57" t="inlineStr">
        <is>
          <t>W3</t>
        </is>
      </c>
      <c r="B97" s="167" t="inlineStr">
        <is>
          <t>02/18</t>
        </is>
      </c>
      <c r="C97" s="168" t="inlineStr">
        <is>
          <t>苦瓜酵素</t>
        </is>
      </c>
      <c r="D97" s="57" t="inlineStr">
        <is>
          <t>B0FF4WBTWX</t>
        </is>
      </c>
      <c r="E97" s="57" t="inlineStr">
        <is>
          <t>B0DV3SJ8LK</t>
        </is>
      </c>
      <c r="F97" s="56" t="inlineStr">
        <is>
          <t>Bitter Melon - SBV - B0CPSQYJK4 - SPM - BX</t>
        </is>
      </c>
      <c r="G97" s="59" t="n">
        <v>53.99</v>
      </c>
      <c r="H97" s="16" t="n">
        <v>1</v>
      </c>
      <c r="I97" s="16" t="n">
        <v>1</v>
      </c>
      <c r="J97" s="59" t="n">
        <v>53.99</v>
      </c>
      <c r="K97" s="107" t="n">
        <v>1</v>
      </c>
    </row>
    <row r="98" ht="15" customHeight="1">
      <c r="A98" s="57" t="inlineStr">
        <is>
          <t>W3</t>
        </is>
      </c>
      <c r="B98" s="167" t="inlineStr">
        <is>
          <t>02/18</t>
        </is>
      </c>
      <c r="C98" s="168" t="inlineStr">
        <is>
          <t>苦瓜酵素</t>
        </is>
      </c>
      <c r="D98" s="57" t="inlineStr">
        <is>
          <t>B0FF4WBTWX</t>
        </is>
      </c>
      <c r="E98" s="57" t="inlineStr">
        <is>
          <t>B0DV3VX26C</t>
        </is>
      </c>
      <c r="F98" s="56" t="inlineStr">
        <is>
          <t>Bitter Melon - SBV - PT - B0CPSQYJK4 - Competitors - BX</t>
        </is>
      </c>
      <c r="G98" s="59" t="n">
        <v>54.98</v>
      </c>
      <c r="H98" s="16" t="n">
        <v>2</v>
      </c>
      <c r="I98" s="16" t="n">
        <v>2</v>
      </c>
      <c r="J98" s="59" t="n">
        <v>54.98</v>
      </c>
      <c r="K98" s="107" t="n">
        <v>2</v>
      </c>
    </row>
    <row r="99" ht="15" customHeight="1">
      <c r="A99" s="57" t="inlineStr">
        <is>
          <t>W3</t>
        </is>
      </c>
      <c r="B99" s="167" t="inlineStr">
        <is>
          <t>02/19</t>
        </is>
      </c>
      <c r="C99" s="168" t="inlineStr">
        <is>
          <t>瑪卡粉</t>
        </is>
      </c>
      <c r="D99" s="57" t="inlineStr">
        <is>
          <t>B09Y8VBQTV</t>
        </is>
      </c>
      <c r="E99" s="57" t="inlineStr">
        <is>
          <t>B09Y8VBQTV</t>
        </is>
      </c>
      <c r="F99" s="56" t="inlineStr">
        <is>
          <t>Maca Powder - SBV - B09Y8VBQTV - Manual - BX</t>
        </is>
      </c>
      <c r="G99" s="59" t="n">
        <v>23.39</v>
      </c>
      <c r="H99" s="16" t="n">
        <v>1</v>
      </c>
      <c r="I99" s="16" t="n">
        <v>1</v>
      </c>
      <c r="J99" s="59" t="n">
        <v>0</v>
      </c>
      <c r="K99" s="107" t="n">
        <v>0</v>
      </c>
    </row>
    <row r="100" ht="15" customHeight="1">
      <c r="A100" s="57" t="inlineStr">
        <is>
          <t>W3</t>
        </is>
      </c>
      <c r="B100" s="167" t="inlineStr">
        <is>
          <t>02/19</t>
        </is>
      </c>
      <c r="C100" s="168" t="inlineStr">
        <is>
          <t>納豆激酶</t>
        </is>
      </c>
      <c r="D100" s="57" t="inlineStr">
        <is>
          <t>B0DTV2XP8T</t>
        </is>
      </c>
      <c r="E100" s="57" t="inlineStr">
        <is>
          <t>B0DTYCNVQV</t>
        </is>
      </c>
      <c r="F100" s="56" t="inlineStr">
        <is>
          <t>SB_BROAD_nattokinase overall wellness_110525_1</t>
        </is>
      </c>
      <c r="G100" s="59" t="n">
        <v>27.99</v>
      </c>
      <c r="H100" s="16" t="n">
        <v>1</v>
      </c>
      <c r="I100" s="16" t="n">
        <v>1</v>
      </c>
      <c r="J100" s="59" t="n">
        <v>27.99</v>
      </c>
      <c r="K100" s="107" t="n">
        <v>1</v>
      </c>
    </row>
    <row r="101" ht="15" customHeight="1">
      <c r="A101" s="57" t="inlineStr">
        <is>
          <t>W3</t>
        </is>
      </c>
      <c r="B101" s="167" t="inlineStr">
        <is>
          <t>02/19</t>
        </is>
      </c>
      <c r="C101" s="168" t="inlineStr">
        <is>
          <t>苦瓜酵素</t>
        </is>
      </c>
      <c r="D101" s="57" t="inlineStr">
        <is>
          <t>B0FF4WBTWX</t>
        </is>
      </c>
      <c r="E101" s="57" t="inlineStr">
        <is>
          <t>B0DV3VX26C</t>
        </is>
      </c>
      <c r="F101" s="56" t="inlineStr">
        <is>
          <t>Bitter Melon - SBV - B0CPSQYJK4 - SPM - BX</t>
        </is>
      </c>
      <c r="G101" s="59" t="n">
        <v>27.49</v>
      </c>
      <c r="H101" s="16" t="n">
        <v>1</v>
      </c>
      <c r="I101" s="16" t="n">
        <v>1</v>
      </c>
      <c r="J101" s="59" t="n">
        <v>27.49</v>
      </c>
      <c r="K101" s="107" t="n">
        <v>1</v>
      </c>
    </row>
    <row r="102" ht="15" customHeight="1">
      <c r="A102" s="57" t="inlineStr">
        <is>
          <t>W3</t>
        </is>
      </c>
      <c r="B102" s="167" t="inlineStr">
        <is>
          <t>02/19</t>
        </is>
      </c>
      <c r="C102" s="168" t="inlineStr">
        <is>
          <t>兒童魚油軟糖</t>
        </is>
      </c>
      <c r="D102" s="57" t="inlineStr">
        <is>
          <t>B0G7SGXFC1</t>
        </is>
      </c>
      <c r="E102" s="57" t="inlineStr">
        <is>
          <t>B0G7K4CHWG</t>
        </is>
      </c>
      <c r="F102" s="56" t="inlineStr">
        <is>
          <t>SB_Kids Fish Oil Gummies_infant omega 3 gummy_B0G7K4CHWG_135</t>
        </is>
      </c>
      <c r="G102" s="59" t="n">
        <v>17.99</v>
      </c>
      <c r="H102" s="16" t="n">
        <v>1</v>
      </c>
      <c r="I102" s="16" t="n">
        <v>1</v>
      </c>
      <c r="J102" s="59" t="n">
        <v>17.99</v>
      </c>
      <c r="K102" s="107" t="n">
        <v>1</v>
      </c>
    </row>
    <row r="103" ht="15" customHeight="1">
      <c r="A103" s="57" t="inlineStr">
        <is>
          <t>W3</t>
        </is>
      </c>
      <c r="B103" s="167" t="inlineStr">
        <is>
          <t>02/20</t>
        </is>
      </c>
      <c r="C103" s="168" t="inlineStr">
        <is>
          <t>瑪卡粉</t>
        </is>
      </c>
      <c r="D103" s="57" t="inlineStr">
        <is>
          <t>B09Y8VBQTV</t>
        </is>
      </c>
      <c r="E103" s="57" t="inlineStr">
        <is>
          <t>B09Y8VBQTV</t>
        </is>
      </c>
      <c r="F103" s="56" t="inlineStr">
        <is>
          <t>Maca Powder - SBV - B09Y8VBQTV - Manual - BX</t>
        </is>
      </c>
      <c r="G103" s="59" t="n">
        <v>23.39</v>
      </c>
      <c r="H103" s="16" t="n">
        <v>1</v>
      </c>
      <c r="I103" s="16" t="n">
        <v>1</v>
      </c>
      <c r="J103" s="59" t="n">
        <v>23.39</v>
      </c>
      <c r="K103" s="107" t="n">
        <v>1</v>
      </c>
    </row>
    <row r="104" ht="15" customHeight="1">
      <c r="A104" s="57" t="inlineStr">
        <is>
          <t>W3</t>
        </is>
      </c>
      <c r="B104" s="167" t="inlineStr">
        <is>
          <t>02/20</t>
        </is>
      </c>
      <c r="C104" s="168" t="inlineStr">
        <is>
          <t>成人頂級魚油</t>
        </is>
      </c>
      <c r="D104" s="57" t="inlineStr">
        <is>
          <t>B0DYHLCY51</t>
        </is>
      </c>
      <c r="E104" s="57" t="inlineStr">
        <is>
          <t>B0DTTHJCRL</t>
        </is>
      </c>
      <c r="F104" s="56" t="inlineStr">
        <is>
          <t>SB_Kids Fish Oil Gummies_children fish oil_B0G7K4CHWG_137</t>
        </is>
      </c>
      <c r="G104" s="59" t="n">
        <v>26.99</v>
      </c>
      <c r="H104" s="16" t="n">
        <v>1</v>
      </c>
      <c r="I104" s="16" t="n">
        <v>1</v>
      </c>
      <c r="J104" s="59" t="n">
        <v>26.99</v>
      </c>
      <c r="K104" s="107" t="n">
        <v>1</v>
      </c>
    </row>
    <row r="105" ht="15" customHeight="1">
      <c r="A105" s="57" t="inlineStr">
        <is>
          <t>W3</t>
        </is>
      </c>
      <c r="B105" s="167" t="inlineStr">
        <is>
          <t>02/20</t>
        </is>
      </c>
      <c r="C105" s="168" t="inlineStr">
        <is>
          <t>兒童魚油軟糖</t>
        </is>
      </c>
      <c r="D105" s="57" t="inlineStr">
        <is>
          <t>B0G7SGXFC1</t>
        </is>
      </c>
      <c r="E105" s="57" t="inlineStr">
        <is>
          <t>B0G7K1VC4G</t>
        </is>
      </c>
      <c r="F105" s="56" t="inlineStr">
        <is>
          <t>SB_Kids Fish Oil Gummies_kids omega 3 grape gummies_B0G7K4CHWG_199</t>
        </is>
      </c>
      <c r="G105" s="59" t="n">
        <v>34.99</v>
      </c>
      <c r="H105" s="16" t="n">
        <v>1</v>
      </c>
      <c r="I105" s="16" t="n">
        <v>1</v>
      </c>
      <c r="J105" s="59" t="n">
        <v>34.99</v>
      </c>
      <c r="K105" s="107" t="n">
        <v>1</v>
      </c>
    </row>
    <row r="106" ht="15" customHeight="1">
      <c r="A106" s="57" t="inlineStr">
        <is>
          <t>W3</t>
        </is>
      </c>
      <c r="B106" s="167" t="inlineStr">
        <is>
          <t>02/20</t>
        </is>
      </c>
      <c r="C106" s="168" t="inlineStr">
        <is>
          <t>兒童魚油軟糖</t>
        </is>
      </c>
      <c r="D106" s="57" t="inlineStr">
        <is>
          <t>B0G7SGXFC1</t>
        </is>
      </c>
      <c r="E106" s="57" t="inlineStr">
        <is>
          <t>B0G7K4CHWG</t>
        </is>
      </c>
      <c r="F106" s="56" t="inlineStr">
        <is>
          <t>SB_Kids Fish Oil Gummies_children omega 3 no mercury_B0G7K4CHWG_199</t>
        </is>
      </c>
      <c r="G106" s="59" t="n">
        <v>17.99</v>
      </c>
      <c r="H106" s="16" t="n">
        <v>1</v>
      </c>
      <c r="I106" s="16" t="n">
        <v>1</v>
      </c>
      <c r="J106" s="59" t="n">
        <v>17.99</v>
      </c>
      <c r="K106" s="107" t="n">
        <v>1</v>
      </c>
    </row>
    <row r="107" ht="15" customHeight="1">
      <c r="A107" s="57" t="inlineStr">
        <is>
          <t>W3</t>
        </is>
      </c>
      <c r="B107" s="167" t="inlineStr">
        <is>
          <t>02/21</t>
        </is>
      </c>
      <c r="C107" s="168" t="inlineStr">
        <is>
          <t>納豆激酶</t>
        </is>
      </c>
      <c r="D107" s="57" t="inlineStr">
        <is>
          <t>B0DTV2XP8T</t>
        </is>
      </c>
      <c r="E107" s="57" t="inlineStr">
        <is>
          <t>B0DTYLYN6B</t>
        </is>
      </c>
      <c r="F107" s="56" t="inlineStr">
        <is>
          <t>SB_BROAD_nattokinase powder_111025</t>
        </is>
      </c>
      <c r="G107" s="59" t="n">
        <v>53.19</v>
      </c>
      <c r="H107" s="16" t="n">
        <v>1</v>
      </c>
      <c r="I107" s="16" t="n">
        <v>1</v>
      </c>
      <c r="J107" s="59" t="n">
        <v>53.19</v>
      </c>
      <c r="K107" s="107" t="n">
        <v>1</v>
      </c>
    </row>
    <row r="108" ht="15" customHeight="1">
      <c r="A108" s="57" t="inlineStr">
        <is>
          <t>W3</t>
        </is>
      </c>
      <c r="B108" s="167" t="inlineStr">
        <is>
          <t>02/21</t>
        </is>
      </c>
      <c r="C108" s="168" t="inlineStr">
        <is>
          <t>成人頂級魚油</t>
        </is>
      </c>
      <c r="D108" s="57" t="inlineStr">
        <is>
          <t>B0DYHLCY51</t>
        </is>
      </c>
      <c r="E108" s="57" t="inlineStr">
        <is>
          <t>B0DTT8T7X1</t>
        </is>
      </c>
      <c r="F108" s="56" t="inlineStr">
        <is>
          <t>SB_Kids Fish Oil Gummies_kids dha gummies_B0G7K4CHWG_199</t>
        </is>
      </c>
      <c r="G108" s="59" t="n">
        <v>45.49</v>
      </c>
      <c r="H108" s="16" t="n">
        <v>1</v>
      </c>
      <c r="I108" s="16" t="n">
        <v>1</v>
      </c>
      <c r="J108" s="59" t="n">
        <v>45.49</v>
      </c>
      <c r="K108" s="107" t="n">
        <v>1</v>
      </c>
    </row>
    <row r="109" ht="15" customHeight="1">
      <c r="A109" s="57" t="inlineStr">
        <is>
          <t>W3</t>
        </is>
      </c>
      <c r="B109" s="167" t="inlineStr">
        <is>
          <t>02/21</t>
        </is>
      </c>
      <c r="C109" s="168" t="inlineStr">
        <is>
          <t>成人頂級魚油</t>
        </is>
      </c>
      <c r="D109" s="57" t="inlineStr">
        <is>
          <t>B0DYHLCY51</t>
        </is>
      </c>
      <c r="E109" s="57" t="inlineStr">
        <is>
          <t>B0DTTHJCRL</t>
        </is>
      </c>
      <c r="F109" s="56" t="inlineStr">
        <is>
          <t>SB_Kids Fish Oil Gummies_children epa_B0G7K4CHWG_127</t>
        </is>
      </c>
      <c r="G109" s="59" t="n">
        <v>26.99</v>
      </c>
      <c r="H109" s="16" t="n">
        <v>1</v>
      </c>
      <c r="I109" s="16" t="n">
        <v>1</v>
      </c>
      <c r="J109" s="59" t="n">
        <v>26.99</v>
      </c>
      <c r="K109" s="107" t="n">
        <v>1</v>
      </c>
    </row>
    <row r="110" ht="15" customHeight="1">
      <c r="A110" s="57" t="inlineStr">
        <is>
          <t>W3</t>
        </is>
      </c>
      <c r="B110" s="167" t="inlineStr">
        <is>
          <t>02/21</t>
        </is>
      </c>
      <c r="C110" s="168" t="inlineStr">
        <is>
          <t>兒童魚油軟糖</t>
        </is>
      </c>
      <c r="D110" s="57" t="inlineStr">
        <is>
          <t>B0G7SGXFC1</t>
        </is>
      </c>
      <c r="E110" s="57" t="inlineStr">
        <is>
          <t>B0G7K4CHWG</t>
        </is>
      </c>
      <c r="F110" s="56" t="inlineStr">
        <is>
          <t>SB_Kids Fish Oil Gummies_kids fish oil high potency_B0G7K4CHWG_199</t>
        </is>
      </c>
      <c r="G110" s="59" t="n">
        <v>35.98</v>
      </c>
      <c r="H110" s="16" t="n">
        <v>1</v>
      </c>
      <c r="I110" s="16" t="n">
        <v>2</v>
      </c>
      <c r="J110" s="59" t="n">
        <v>35.98</v>
      </c>
      <c r="K110" s="107" t="n">
        <v>1</v>
      </c>
    </row>
    <row r="111" ht="16" customHeight="1">
      <c r="A111" s="169" t="inlineStr">
        <is>
          <t xml:space="preserve">  W4 — Feb 22–28  |  44 筆  |  Sales $1,444  Orders 56  NTB $1,008</t>
        </is>
      </c>
    </row>
    <row r="112" ht="15" customHeight="1">
      <c r="A112" s="64" t="inlineStr">
        <is>
          <t>W4</t>
        </is>
      </c>
      <c r="B112" s="170" t="inlineStr">
        <is>
          <t>02/22</t>
        </is>
      </c>
      <c r="C112" s="171" t="inlineStr">
        <is>
          <t>瑪卡粉</t>
        </is>
      </c>
      <c r="D112" s="64" t="inlineStr">
        <is>
          <t>B09Y8VBQTV</t>
        </is>
      </c>
      <c r="E112" s="64" t="inlineStr">
        <is>
          <t>B09Y8VBQTV</t>
        </is>
      </c>
      <c r="F112" s="63" t="inlineStr">
        <is>
          <t>Maca Powder - SBV - B09Y8VBQTV - Manual - BX</t>
        </is>
      </c>
      <c r="G112" s="66" t="n">
        <v>23.39</v>
      </c>
      <c r="H112" s="18" t="n">
        <v>1</v>
      </c>
      <c r="I112" s="18" t="n">
        <v>1</v>
      </c>
      <c r="J112" s="66" t="n">
        <v>23.39</v>
      </c>
      <c r="K112" s="110" t="n">
        <v>1</v>
      </c>
    </row>
    <row r="113" ht="15" customHeight="1">
      <c r="A113" s="64" t="inlineStr">
        <is>
          <t>W4</t>
        </is>
      </c>
      <c r="B113" s="170" t="inlineStr">
        <is>
          <t>02/22</t>
        </is>
      </c>
      <c r="C113" s="171" t="inlineStr">
        <is>
          <t>納豆激酶</t>
        </is>
      </c>
      <c r="D113" s="64" t="inlineStr">
        <is>
          <t>B0DTV2XP8T</t>
        </is>
      </c>
      <c r="E113" s="64" t="inlineStr">
        <is>
          <t>B0DTYCNVQV</t>
        </is>
      </c>
      <c r="F113" s="63" t="inlineStr">
        <is>
          <t>SB_nattokinase now brand comparab_1103_1109</t>
        </is>
      </c>
      <c r="G113" s="66" t="n">
        <v>26.59</v>
      </c>
      <c r="H113" s="18" t="n">
        <v>1</v>
      </c>
      <c r="I113" s="18" t="n">
        <v>1</v>
      </c>
      <c r="J113" s="66" t="n">
        <v>26.59</v>
      </c>
      <c r="K113" s="110" t="n">
        <v>1</v>
      </c>
    </row>
    <row r="114" ht="15" customHeight="1">
      <c r="A114" s="64" t="inlineStr">
        <is>
          <t>W4</t>
        </is>
      </c>
      <c r="B114" s="170" t="inlineStr">
        <is>
          <t>02/22</t>
        </is>
      </c>
      <c r="C114" s="171" t="inlineStr">
        <is>
          <t>納豆激酶</t>
        </is>
      </c>
      <c r="D114" s="64" t="inlineStr">
        <is>
          <t>B0DTV2XP8T</t>
        </is>
      </c>
      <c r="E114" s="64" t="inlineStr">
        <is>
          <t>B0DTYCNVQV</t>
        </is>
      </c>
      <c r="F114" s="63" t="inlineStr">
        <is>
          <t>SB_BROAD_nattokinase pure_111025</t>
        </is>
      </c>
      <c r="G114" s="66" t="n">
        <v>27.99</v>
      </c>
      <c r="H114" s="18" t="n">
        <v>1</v>
      </c>
      <c r="I114" s="18" t="n">
        <v>1</v>
      </c>
      <c r="J114" s="66" t="n">
        <v>27.99</v>
      </c>
      <c r="K114" s="110" t="n">
        <v>1</v>
      </c>
    </row>
    <row r="115" ht="15" customHeight="1">
      <c r="A115" s="64" t="inlineStr">
        <is>
          <t>W4</t>
        </is>
      </c>
      <c r="B115" s="170" t="inlineStr">
        <is>
          <t>02/22</t>
        </is>
      </c>
      <c r="C115" s="171" t="inlineStr">
        <is>
          <t>納豆激酶</t>
        </is>
      </c>
      <c r="D115" s="64" t="inlineStr">
        <is>
          <t>B0DTV2XP8T</t>
        </is>
      </c>
      <c r="E115" s="64" t="inlineStr">
        <is>
          <t>B0DTYCNVQV</t>
        </is>
      </c>
      <c r="F115" s="63" t="inlineStr">
        <is>
          <t>SB_BROAD_B0DTYCNVQV_AUDIENCE10_nattokinase tablets 120 count</t>
        </is>
      </c>
      <c r="G115" s="66" t="n">
        <v>27.99</v>
      </c>
      <c r="H115" s="18" t="n">
        <v>1</v>
      </c>
      <c r="I115" s="18" t="n">
        <v>1</v>
      </c>
      <c r="J115" s="66" t="n">
        <v>27.99</v>
      </c>
      <c r="K115" s="110" t="n">
        <v>1</v>
      </c>
    </row>
    <row r="116" ht="15" customHeight="1">
      <c r="A116" s="64" t="inlineStr">
        <is>
          <t>W4</t>
        </is>
      </c>
      <c r="B116" s="170" t="inlineStr">
        <is>
          <t>02/22</t>
        </is>
      </c>
      <c r="C116" s="171" t="inlineStr">
        <is>
          <t>納豆激酶</t>
        </is>
      </c>
      <c r="D116" s="64" t="inlineStr">
        <is>
          <t>B0DTV2XP8T</t>
        </is>
      </c>
      <c r="E116" s="64" t="inlineStr">
        <is>
          <t>B0DTYCNVQV</t>
        </is>
      </c>
      <c r="F116" s="63" t="inlineStr">
        <is>
          <t>SB_BROAD_nattokinase vegan capsules_111025</t>
        </is>
      </c>
      <c r="G116" s="66" t="n">
        <v>27.99</v>
      </c>
      <c r="H116" s="18" t="n">
        <v>1</v>
      </c>
      <c r="I116" s="18" t="n">
        <v>1</v>
      </c>
      <c r="J116" s="66" t="n">
        <v>27.99</v>
      </c>
      <c r="K116" s="110" t="n">
        <v>1</v>
      </c>
    </row>
    <row r="117" ht="15" customHeight="1">
      <c r="A117" s="64" t="inlineStr">
        <is>
          <t>W4</t>
        </is>
      </c>
      <c r="B117" s="170" t="inlineStr">
        <is>
          <t>02/22</t>
        </is>
      </c>
      <c r="C117" s="171" t="inlineStr">
        <is>
          <t>苦瓜酵素</t>
        </is>
      </c>
      <c r="D117" s="64" t="inlineStr">
        <is>
          <t>B0FF4WBTWX</t>
        </is>
      </c>
      <c r="E117" s="64" t="inlineStr">
        <is>
          <t>B0DV3VX26C</t>
        </is>
      </c>
      <c r="F117" s="63" t="inlineStr">
        <is>
          <t>SB_Kids Fish Oil Gummies_dha gummies for kids_B0G7K4CHWG_111</t>
        </is>
      </c>
      <c r="G117" s="66" t="n">
        <v>54.98</v>
      </c>
      <c r="H117" s="18" t="n">
        <v>2</v>
      </c>
      <c r="I117" s="18" t="n">
        <v>2</v>
      </c>
      <c r="J117" s="66" t="n">
        <v>0</v>
      </c>
      <c r="K117" s="110" t="n">
        <v>0</v>
      </c>
    </row>
    <row r="118" ht="15" customHeight="1">
      <c r="A118" s="64" t="inlineStr">
        <is>
          <t>W4</t>
        </is>
      </c>
      <c r="B118" s="170" t="inlineStr">
        <is>
          <t>02/22</t>
        </is>
      </c>
      <c r="C118" s="171" t="inlineStr">
        <is>
          <t>葉黃素</t>
        </is>
      </c>
      <c r="D118" s="64" t="inlineStr">
        <is>
          <t>B0FKBLZB11</t>
        </is>
      </c>
      <c r="E118" s="64" t="inlineStr">
        <is>
          <t>B0FH6BX4GQ</t>
        </is>
      </c>
      <c r="F118" s="63" t="inlineStr">
        <is>
          <t>SB_Kids Fish Oil Gummies_dha gummies for kids_B0G7K4CHWG_111</t>
        </is>
      </c>
      <c r="G118" s="66" t="n">
        <v>71.97</v>
      </c>
      <c r="H118" s="18" t="n">
        <v>3</v>
      </c>
      <c r="I118" s="18" t="n">
        <v>3</v>
      </c>
      <c r="J118" s="66" t="n">
        <v>0</v>
      </c>
      <c r="K118" s="110" t="n">
        <v>0</v>
      </c>
    </row>
    <row r="119" ht="15" customHeight="1">
      <c r="A119" s="64" t="inlineStr">
        <is>
          <t>W4</t>
        </is>
      </c>
      <c r="B119" s="170" t="inlineStr">
        <is>
          <t>02/22</t>
        </is>
      </c>
      <c r="C119" s="171" t="inlineStr">
        <is>
          <t>兒童魚油軟糖</t>
        </is>
      </c>
      <c r="D119" s="64" t="inlineStr">
        <is>
          <t>B0G7SGXFC1</t>
        </is>
      </c>
      <c r="E119" s="64" t="inlineStr">
        <is>
          <t>B0G7K4CHWG</t>
        </is>
      </c>
      <c r="F119" s="63" t="inlineStr">
        <is>
          <t>SB_Kids Fish Oil Gummies_dha gummies for kids_B0G7K4CHWG_111</t>
        </is>
      </c>
      <c r="G119" s="66" t="n">
        <v>87.95</v>
      </c>
      <c r="H119" s="18" t="n">
        <v>5</v>
      </c>
      <c r="I119" s="18" t="n">
        <v>5</v>
      </c>
      <c r="J119" s="66" t="n">
        <v>0</v>
      </c>
      <c r="K119" s="110" t="n">
        <v>0</v>
      </c>
    </row>
    <row r="120" ht="15" customHeight="1">
      <c r="A120" s="64" t="inlineStr">
        <is>
          <t>W4</t>
        </is>
      </c>
      <c r="B120" s="170" t="inlineStr">
        <is>
          <t>02/23</t>
        </is>
      </c>
      <c r="C120" s="171" t="inlineStr">
        <is>
          <t>納豆激酶</t>
        </is>
      </c>
      <c r="D120" s="64" t="inlineStr">
        <is>
          <t>B0DTV2XP8T</t>
        </is>
      </c>
      <c r="E120" s="64" t="inlineStr">
        <is>
          <t>B0DTYCNVQV</t>
        </is>
      </c>
      <c r="F120" s="63" t="inlineStr">
        <is>
          <t>SB_BROAD_natural formula capsules featuring nattokinase_110725</t>
        </is>
      </c>
      <c r="G120" s="66" t="n">
        <v>27.99</v>
      </c>
      <c r="H120" s="18" t="n">
        <v>1</v>
      </c>
      <c r="I120" s="18" t="n">
        <v>1</v>
      </c>
      <c r="J120" s="66" t="n">
        <v>27.99</v>
      </c>
      <c r="K120" s="110" t="n">
        <v>1</v>
      </c>
    </row>
    <row r="121" ht="15" customHeight="1">
      <c r="A121" s="64" t="inlineStr">
        <is>
          <t>W4</t>
        </is>
      </c>
      <c r="B121" s="170" t="inlineStr">
        <is>
          <t>02/23</t>
        </is>
      </c>
      <c r="C121" s="171" t="inlineStr">
        <is>
          <t>納豆激酶</t>
        </is>
      </c>
      <c r="D121" s="64" t="inlineStr">
        <is>
          <t>B0DTV2XP8T</t>
        </is>
      </c>
      <c r="E121" s="64" t="inlineStr">
        <is>
          <t>B0DTYLYN6B</t>
        </is>
      </c>
      <c r="F121" s="63" t="inlineStr">
        <is>
          <t>SB_BROAD_japanese fermented supplement_110525_1</t>
        </is>
      </c>
      <c r="G121" s="66" t="n">
        <v>53.19</v>
      </c>
      <c r="H121" s="18" t="n">
        <v>1</v>
      </c>
      <c r="I121" s="18" t="n">
        <v>1</v>
      </c>
      <c r="J121" s="66" t="n">
        <v>53.19</v>
      </c>
      <c r="K121" s="110" t="n">
        <v>1</v>
      </c>
    </row>
    <row r="122" ht="15" customHeight="1">
      <c r="A122" s="64" t="inlineStr">
        <is>
          <t>W4</t>
        </is>
      </c>
      <c r="B122" s="170" t="inlineStr">
        <is>
          <t>02/23</t>
        </is>
      </c>
      <c r="C122" s="171" t="inlineStr">
        <is>
          <t>苦瓜酵素</t>
        </is>
      </c>
      <c r="D122" s="64" t="inlineStr">
        <is>
          <t>B0FF4WBTWX</t>
        </is>
      </c>
      <c r="E122" s="64" t="inlineStr">
        <is>
          <t>B0DV3VX26C</t>
        </is>
      </c>
      <c r="F122" s="63" t="inlineStr">
        <is>
          <t>Bitter Melon - SBV - PT - B0CPSQYJK4 - Competitors - BX</t>
        </is>
      </c>
      <c r="G122" s="66" t="n">
        <v>27.49</v>
      </c>
      <c r="H122" s="18" t="n">
        <v>1</v>
      </c>
      <c r="I122" s="18" t="n">
        <v>1</v>
      </c>
      <c r="J122" s="66" t="n">
        <v>27.49</v>
      </c>
      <c r="K122" s="110" t="n">
        <v>1</v>
      </c>
    </row>
    <row r="123" ht="15" customHeight="1">
      <c r="A123" s="64" t="inlineStr">
        <is>
          <t>W4</t>
        </is>
      </c>
      <c r="B123" s="170" t="inlineStr">
        <is>
          <t>02/23</t>
        </is>
      </c>
      <c r="C123" s="171" t="inlineStr">
        <is>
          <t>兒童魚油軟糖</t>
        </is>
      </c>
      <c r="D123" s="64" t="inlineStr">
        <is>
          <t>B0G7SGXFC1</t>
        </is>
      </c>
      <c r="E123" s="64" t="inlineStr">
        <is>
          <t>B0G7K4CHWG</t>
        </is>
      </c>
      <c r="F123" s="63" t="inlineStr">
        <is>
          <t>SB_Kids Fish Oil Gummies_kids fish oil high potency_B0G7K4CHWG_188</t>
        </is>
      </c>
      <c r="G123" s="66" t="n">
        <v>16.99</v>
      </c>
      <c r="H123" s="18" t="n">
        <v>1</v>
      </c>
      <c r="I123" s="18" t="n">
        <v>1</v>
      </c>
      <c r="J123" s="66" t="n">
        <v>16.99</v>
      </c>
      <c r="K123" s="110" t="n">
        <v>1</v>
      </c>
    </row>
    <row r="124" ht="15" customHeight="1">
      <c r="A124" s="64" t="inlineStr">
        <is>
          <t>W4</t>
        </is>
      </c>
      <c r="B124" s="170" t="inlineStr">
        <is>
          <t>02/23</t>
        </is>
      </c>
      <c r="C124" s="171" t="inlineStr">
        <is>
          <t>兒童魚油軟糖</t>
        </is>
      </c>
      <c r="D124" s="64" t="inlineStr">
        <is>
          <t>B0G7SGXFC1</t>
        </is>
      </c>
      <c r="E124" s="64" t="inlineStr">
        <is>
          <t>B0G7K4CHWG</t>
        </is>
      </c>
      <c r="F124" s="63" t="inlineStr">
        <is>
          <t>SB_Kids Fish Oil Gummies_child fish oil chewable_B0G7K4CHWG_199</t>
        </is>
      </c>
      <c r="G124" s="66" t="n">
        <v>16.99</v>
      </c>
      <c r="H124" s="18" t="n">
        <v>1</v>
      </c>
      <c r="I124" s="18" t="n">
        <v>1</v>
      </c>
      <c r="J124" s="66" t="n">
        <v>16.99</v>
      </c>
      <c r="K124" s="110" t="n">
        <v>1</v>
      </c>
    </row>
    <row r="125" ht="15" customHeight="1">
      <c r="A125" s="64" t="inlineStr">
        <is>
          <t>W4</t>
        </is>
      </c>
      <c r="B125" s="170" t="inlineStr">
        <is>
          <t>02/23</t>
        </is>
      </c>
      <c r="C125" s="171" t="inlineStr">
        <is>
          <t>兒童魚油軟糖</t>
        </is>
      </c>
      <c r="D125" s="64" t="inlineStr">
        <is>
          <t>B0G7SGXFC1</t>
        </is>
      </c>
      <c r="E125" s="64" t="inlineStr">
        <is>
          <t>B0G7K4CHWG</t>
        </is>
      </c>
      <c r="F125" s="63" t="inlineStr">
        <is>
          <t>SB_Kids Fish Oil Gummies_children dha liquid_B0G7K4CHWG_199</t>
        </is>
      </c>
      <c r="G125" s="66" t="n">
        <v>16.99</v>
      </c>
      <c r="H125" s="18" t="n">
        <v>1</v>
      </c>
      <c r="I125" s="18" t="n">
        <v>1</v>
      </c>
      <c r="J125" s="66" t="n">
        <v>16.99</v>
      </c>
      <c r="K125" s="110" t="n">
        <v>1</v>
      </c>
    </row>
    <row r="126" ht="15" customHeight="1">
      <c r="A126" s="64" t="inlineStr">
        <is>
          <t>W4</t>
        </is>
      </c>
      <c r="B126" s="170" t="inlineStr">
        <is>
          <t>02/24</t>
        </is>
      </c>
      <c r="C126" s="171" t="inlineStr">
        <is>
          <t>瑪卡粉</t>
        </is>
      </c>
      <c r="D126" s="64" t="inlineStr">
        <is>
          <t>B09Y8VBQTV</t>
        </is>
      </c>
      <c r="E126" s="64" t="inlineStr">
        <is>
          <t>B09Y8VBQTV</t>
        </is>
      </c>
      <c r="F126" s="63" t="inlineStr">
        <is>
          <t>Maca Powder - SBV - B09Y8VBQTV - Manual - BX</t>
        </is>
      </c>
      <c r="G126" s="66" t="n">
        <v>23.39</v>
      </c>
      <c r="H126" s="18" t="n">
        <v>1</v>
      </c>
      <c r="I126" s="18" t="n">
        <v>1</v>
      </c>
      <c r="J126" s="66" t="n">
        <v>23.39</v>
      </c>
      <c r="K126" s="110" t="n">
        <v>1</v>
      </c>
    </row>
    <row r="127" ht="15" customHeight="1">
      <c r="A127" s="64" t="inlineStr">
        <is>
          <t>W4</t>
        </is>
      </c>
      <c r="B127" s="170" t="inlineStr">
        <is>
          <t>02/24</t>
        </is>
      </c>
      <c r="C127" s="171" t="inlineStr">
        <is>
          <t>納豆激酶</t>
        </is>
      </c>
      <c r="D127" s="64" t="inlineStr">
        <is>
          <t>B0DTV2XP8T</t>
        </is>
      </c>
      <c r="E127" s="64" t="inlineStr">
        <is>
          <t>B0DTYCNVQV</t>
        </is>
      </c>
      <c r="F127" s="63" t="inlineStr">
        <is>
          <t>SB_BROAD_japanese fermented supplement_110525_1</t>
        </is>
      </c>
      <c r="G127" s="66" t="n">
        <v>27.99</v>
      </c>
      <c r="H127" s="18" t="n">
        <v>1</v>
      </c>
      <c r="I127" s="18" t="n">
        <v>1</v>
      </c>
      <c r="J127" s="66" t="n">
        <v>27.99</v>
      </c>
      <c r="K127" s="110" t="n">
        <v>1</v>
      </c>
    </row>
    <row r="128" ht="15" customHeight="1">
      <c r="A128" s="64" t="inlineStr">
        <is>
          <t>W4</t>
        </is>
      </c>
      <c r="B128" s="170" t="inlineStr">
        <is>
          <t>02/24</t>
        </is>
      </c>
      <c r="C128" s="171" t="inlineStr">
        <is>
          <t>成人頂級魚油</t>
        </is>
      </c>
      <c r="D128" s="64" t="inlineStr">
        <is>
          <t>B0DYHLCY51</t>
        </is>
      </c>
      <c r="E128" s="64" t="inlineStr">
        <is>
          <t>B0DTTHJCRL</t>
        </is>
      </c>
      <c r="F128" s="63" t="inlineStr">
        <is>
          <t>SB_Kids Fish Oil Gummies_kids fish oil gummies_B0G7K4CHWG_199</t>
        </is>
      </c>
      <c r="G128" s="66" t="n">
        <v>26.99</v>
      </c>
      <c r="H128" s="18" t="n">
        <v>1</v>
      </c>
      <c r="I128" s="18" t="n">
        <v>1</v>
      </c>
      <c r="J128" s="66" t="n">
        <v>26.99</v>
      </c>
      <c r="K128" s="110" t="n">
        <v>1</v>
      </c>
    </row>
    <row r="129" ht="15" customHeight="1">
      <c r="A129" s="64" t="inlineStr">
        <is>
          <t>W4</t>
        </is>
      </c>
      <c r="B129" s="170" t="inlineStr">
        <is>
          <t>02/24</t>
        </is>
      </c>
      <c r="C129" s="171" t="inlineStr">
        <is>
          <t>成人頂級魚油</t>
        </is>
      </c>
      <c r="D129" s="64" t="inlineStr">
        <is>
          <t>B0DYHLCY51</t>
        </is>
      </c>
      <c r="E129" s="64" t="inlineStr">
        <is>
          <t>B0DTTHJCRL</t>
        </is>
      </c>
      <c r="F129" s="63" t="inlineStr">
        <is>
          <t>SB_Kids Fish Oil Gummies_child fish oil chewable_B0G7K4CHWG_199</t>
        </is>
      </c>
      <c r="G129" s="66" t="n">
        <v>26.99</v>
      </c>
      <c r="H129" s="18" t="n">
        <v>1</v>
      </c>
      <c r="I129" s="18" t="n">
        <v>1</v>
      </c>
      <c r="J129" s="66" t="n">
        <v>26.99</v>
      </c>
      <c r="K129" s="110" t="n">
        <v>1</v>
      </c>
    </row>
    <row r="130" ht="15" customHeight="1">
      <c r="A130" s="64" t="inlineStr">
        <is>
          <t>W4</t>
        </is>
      </c>
      <c r="B130" s="170" t="inlineStr">
        <is>
          <t>02/24</t>
        </is>
      </c>
      <c r="C130" s="171" t="inlineStr">
        <is>
          <t>苦瓜酵素</t>
        </is>
      </c>
      <c r="D130" s="64" t="inlineStr">
        <is>
          <t>B0FF4WBTWX</t>
        </is>
      </c>
      <c r="E130" s="64" t="inlineStr">
        <is>
          <t>B0DV3VX26C</t>
        </is>
      </c>
      <c r="F130" s="63" t="inlineStr">
        <is>
          <t>SB_Kids Fish Oil Gummies_dha gummies for kids_B0G7K4CHWG_111</t>
        </is>
      </c>
      <c r="G130" s="66" t="n">
        <v>82.47</v>
      </c>
      <c r="H130" s="18" t="n">
        <v>3</v>
      </c>
      <c r="I130" s="18" t="n">
        <v>3</v>
      </c>
      <c r="J130" s="66" t="n">
        <v>0</v>
      </c>
      <c r="K130" s="110" t="n">
        <v>0</v>
      </c>
    </row>
    <row r="131" ht="15" customHeight="1">
      <c r="A131" s="64" t="inlineStr">
        <is>
          <t>W4</t>
        </is>
      </c>
      <c r="B131" s="170" t="inlineStr">
        <is>
          <t>02/24</t>
        </is>
      </c>
      <c r="C131" s="171" t="inlineStr">
        <is>
          <t>兒童魚油軟糖</t>
        </is>
      </c>
      <c r="D131" s="64" t="inlineStr">
        <is>
          <t>B0G7SGXFC1</t>
        </is>
      </c>
      <c r="E131" s="64" t="inlineStr">
        <is>
          <t>B0G7K4CHWG</t>
        </is>
      </c>
      <c r="F131" s="63" t="inlineStr">
        <is>
          <t>SB_Kids Fish Oil Gummies_toddler fish oil gummies_B0G7K4CHWG_199</t>
        </is>
      </c>
      <c r="G131" s="66" t="n">
        <v>16.99</v>
      </c>
      <c r="H131" s="18" t="n">
        <v>1</v>
      </c>
      <c r="I131" s="18" t="n">
        <v>1</v>
      </c>
      <c r="J131" s="66" t="n">
        <v>16.99</v>
      </c>
      <c r="K131" s="110" t="n">
        <v>1</v>
      </c>
    </row>
    <row r="132" ht="15" customHeight="1">
      <c r="A132" s="64" t="inlineStr">
        <is>
          <t>W4</t>
        </is>
      </c>
      <c r="B132" s="170" t="inlineStr">
        <is>
          <t>02/24</t>
        </is>
      </c>
      <c r="C132" s="171" t="inlineStr">
        <is>
          <t>兒童魚油軟糖</t>
        </is>
      </c>
      <c r="D132" s="64" t="inlineStr">
        <is>
          <t>B0G7SGXFC1</t>
        </is>
      </c>
      <c r="E132" s="64" t="inlineStr">
        <is>
          <t>B0G7K4CHWG</t>
        </is>
      </c>
      <c r="F132" s="63" t="inlineStr">
        <is>
          <t>SB_Kids Fish Oil Gummies_dha gummies for kids_B0G7K4CHWG_111</t>
        </is>
      </c>
      <c r="G132" s="66" t="n">
        <v>50.97</v>
      </c>
      <c r="H132" s="18" t="n">
        <v>3</v>
      </c>
      <c r="I132" s="18" t="n">
        <v>3</v>
      </c>
      <c r="J132" s="66" t="n">
        <v>0</v>
      </c>
      <c r="K132" s="110" t="n">
        <v>0</v>
      </c>
    </row>
    <row r="133" ht="15" customHeight="1">
      <c r="A133" s="64" t="inlineStr">
        <is>
          <t>W4</t>
        </is>
      </c>
      <c r="B133" s="170" t="inlineStr">
        <is>
          <t>02/25</t>
        </is>
      </c>
      <c r="C133" s="171" t="inlineStr">
        <is>
          <t>兒童魚油軟糖</t>
        </is>
      </c>
      <c r="D133" s="64" t="inlineStr">
        <is>
          <t>B0G7SGXFC1</t>
        </is>
      </c>
      <c r="E133" s="64" t="inlineStr">
        <is>
          <t>B0G7K1VC4G</t>
        </is>
      </c>
      <c r="F133" s="63" t="inlineStr">
        <is>
          <t>SB_Kids Fish Oil Gummies_flavorless omega 3 kids_B0G7K4CHWG_122</t>
        </is>
      </c>
      <c r="G133" s="66" t="n">
        <v>31.99</v>
      </c>
      <c r="H133" s="18" t="n">
        <v>1</v>
      </c>
      <c r="I133" s="18" t="n">
        <v>1</v>
      </c>
      <c r="J133" s="66" t="n">
        <v>31.99</v>
      </c>
      <c r="K133" s="110" t="n">
        <v>1</v>
      </c>
    </row>
    <row r="134" ht="15" customHeight="1">
      <c r="A134" s="64" t="inlineStr">
        <is>
          <t>W4</t>
        </is>
      </c>
      <c r="B134" s="170" t="inlineStr">
        <is>
          <t>02/25</t>
        </is>
      </c>
      <c r="C134" s="171" t="inlineStr">
        <is>
          <t>兒童魚油軟糖</t>
        </is>
      </c>
      <c r="D134" s="64" t="inlineStr">
        <is>
          <t>B0G7SGXFC1</t>
        </is>
      </c>
      <c r="E134" s="64" t="inlineStr">
        <is>
          <t>B0G7K4CHWG</t>
        </is>
      </c>
      <c r="F134" s="63" t="inlineStr">
        <is>
          <t>SB_Kids Fish Oil Gummies_kids omega 3 raspberry gummies_B0G7K4CHWG_199</t>
        </is>
      </c>
      <c r="G134" s="66" t="n">
        <v>16.99</v>
      </c>
      <c r="H134" s="18" t="n">
        <v>1</v>
      </c>
      <c r="I134" s="18" t="n">
        <v>1</v>
      </c>
      <c r="J134" s="66" t="n">
        <v>16.99</v>
      </c>
      <c r="K134" s="110" t="n">
        <v>1</v>
      </c>
    </row>
    <row r="135" ht="15" customHeight="1">
      <c r="A135" s="64" t="inlineStr">
        <is>
          <t>W4</t>
        </is>
      </c>
      <c r="B135" s="170" t="inlineStr">
        <is>
          <t>02/25</t>
        </is>
      </c>
      <c r="C135" s="171" t="inlineStr">
        <is>
          <t>兒童魚油軟糖</t>
        </is>
      </c>
      <c r="D135" s="64" t="inlineStr">
        <is>
          <t>B0G7SGXFC1</t>
        </is>
      </c>
      <c r="E135" s="64" t="inlineStr">
        <is>
          <t>B0G7K4CHWG</t>
        </is>
      </c>
      <c r="F135" s="63" t="inlineStr">
        <is>
          <t>SB_Kids Fish Oil Gummies_toddler omega 3 brain development_B0G7K4CHWG_188</t>
        </is>
      </c>
      <c r="G135" s="66" t="n">
        <v>16.99</v>
      </c>
      <c r="H135" s="18" t="n">
        <v>1</v>
      </c>
      <c r="I135" s="18" t="n">
        <v>1</v>
      </c>
      <c r="J135" s="66" t="n">
        <v>16.99</v>
      </c>
      <c r="K135" s="110" t="n">
        <v>1</v>
      </c>
    </row>
    <row r="136" ht="15" customHeight="1">
      <c r="A136" s="64" t="inlineStr">
        <is>
          <t>W4</t>
        </is>
      </c>
      <c r="B136" s="170" t="inlineStr">
        <is>
          <t>02/25</t>
        </is>
      </c>
      <c r="C136" s="171" t="inlineStr">
        <is>
          <t>兒童魚油軟糖</t>
        </is>
      </c>
      <c r="D136" s="64" t="inlineStr">
        <is>
          <t>B0G7SGXFC1</t>
        </is>
      </c>
      <c r="E136" s="64" t="inlineStr">
        <is>
          <t>B0G7K1VC4G</t>
        </is>
      </c>
      <c r="F136" s="63" t="inlineStr">
        <is>
          <t>SB_Kids Fish Oil Gummies_child fish oil chewable_B0G7K4CHWG_199</t>
        </is>
      </c>
      <c r="G136" s="66" t="n">
        <v>31.99</v>
      </c>
      <c r="H136" s="18" t="n">
        <v>1</v>
      </c>
      <c r="I136" s="18" t="n">
        <v>1</v>
      </c>
      <c r="J136" s="66" t="n">
        <v>31.99</v>
      </c>
      <c r="K136" s="110" t="n">
        <v>1</v>
      </c>
    </row>
    <row r="137" ht="15" customHeight="1">
      <c r="A137" s="64" t="inlineStr">
        <is>
          <t>W4</t>
        </is>
      </c>
      <c r="B137" s="170" t="inlineStr">
        <is>
          <t>02/26</t>
        </is>
      </c>
      <c r="C137" s="171" t="inlineStr">
        <is>
          <t>瑪卡粉</t>
        </is>
      </c>
      <c r="D137" s="64" t="inlineStr">
        <is>
          <t>B09Y8VBQTV</t>
        </is>
      </c>
      <c r="E137" s="64" t="inlineStr">
        <is>
          <t>B09Y8VBQTV</t>
        </is>
      </c>
      <c r="F137" s="63" t="inlineStr">
        <is>
          <t>Maca Powder - SBV - B09Y8VBQTV - Manual - BX</t>
        </is>
      </c>
      <c r="G137" s="66" t="n">
        <v>23.39</v>
      </c>
      <c r="H137" s="18" t="n">
        <v>1</v>
      </c>
      <c r="I137" s="18" t="n">
        <v>1</v>
      </c>
      <c r="J137" s="66" t="n">
        <v>23.39</v>
      </c>
      <c r="K137" s="110" t="n">
        <v>1</v>
      </c>
    </row>
    <row r="138" ht="15" customHeight="1">
      <c r="A138" s="64" t="inlineStr">
        <is>
          <t>W4</t>
        </is>
      </c>
      <c r="B138" s="170" t="inlineStr">
        <is>
          <t>02/26</t>
        </is>
      </c>
      <c r="C138" s="171" t="inlineStr">
        <is>
          <t>成人頂級魚油</t>
        </is>
      </c>
      <c r="D138" s="64" t="inlineStr">
        <is>
          <t>B0DYHLCY51</t>
        </is>
      </c>
      <c r="E138" s="64" t="inlineStr">
        <is>
          <t>B0DTTHJCRL</t>
        </is>
      </c>
      <c r="F138" s="63" t="inlineStr">
        <is>
          <t>SB_Kids Fish Oil Gummies_kids fish oil brain development_B0G7K4CHWG_199</t>
        </is>
      </c>
      <c r="G138" s="66" t="n">
        <v>26.99</v>
      </c>
      <c r="H138" s="18" t="n">
        <v>1</v>
      </c>
      <c r="I138" s="18" t="n">
        <v>1</v>
      </c>
      <c r="J138" s="66" t="n">
        <v>26.99</v>
      </c>
      <c r="K138" s="110" t="n">
        <v>1</v>
      </c>
    </row>
    <row r="139" ht="15" customHeight="1">
      <c r="A139" s="64" t="inlineStr">
        <is>
          <t>W4</t>
        </is>
      </c>
      <c r="B139" s="170" t="inlineStr">
        <is>
          <t>02/26</t>
        </is>
      </c>
      <c r="C139" s="171" t="inlineStr">
        <is>
          <t>葉黃素</t>
        </is>
      </c>
      <c r="D139" s="64" t="inlineStr">
        <is>
          <t>B0FKBLZB11</t>
        </is>
      </c>
      <c r="E139" s="64" t="inlineStr">
        <is>
          <t>B0FH6BX4GQ</t>
        </is>
      </c>
      <c r="F139" s="63" t="inlineStr">
        <is>
          <t>Lutein Softgels - SBV - B0CVT95T3M - BX</t>
        </is>
      </c>
      <c r="G139" s="66" t="n">
        <v>23.99</v>
      </c>
      <c r="H139" s="18" t="n">
        <v>1</v>
      </c>
      <c r="I139" s="18" t="n">
        <v>1</v>
      </c>
      <c r="J139" s="66" t="n">
        <v>23.99</v>
      </c>
      <c r="K139" s="110" t="n">
        <v>1</v>
      </c>
    </row>
    <row r="140" ht="15" customHeight="1">
      <c r="A140" s="64" t="inlineStr">
        <is>
          <t>W4</t>
        </is>
      </c>
      <c r="B140" s="170" t="inlineStr">
        <is>
          <t>02/26</t>
        </is>
      </c>
      <c r="C140" s="171" t="inlineStr">
        <is>
          <t>兒童魚油軟糖</t>
        </is>
      </c>
      <c r="D140" s="64" t="inlineStr">
        <is>
          <t>B0G7SGXFC1</t>
        </is>
      </c>
      <c r="E140" s="64" t="inlineStr">
        <is>
          <t>B0G7K4CHWG</t>
        </is>
      </c>
      <c r="F140" s="63" t="inlineStr">
        <is>
          <t>SB_Kids Fish Oil Gummies_children dha high potency_B0G7K4CHWG_199</t>
        </is>
      </c>
      <c r="G140" s="66" t="n">
        <v>16.99</v>
      </c>
      <c r="H140" s="18" t="n">
        <v>1</v>
      </c>
      <c r="I140" s="18" t="n">
        <v>1</v>
      </c>
      <c r="J140" s="66" t="n">
        <v>16.99</v>
      </c>
      <c r="K140" s="110" t="n">
        <v>1</v>
      </c>
    </row>
    <row r="141" ht="15" customHeight="1">
      <c r="A141" s="64" t="inlineStr">
        <is>
          <t>W4</t>
        </is>
      </c>
      <c r="B141" s="170" t="inlineStr">
        <is>
          <t>02/26</t>
        </is>
      </c>
      <c r="C141" s="171" t="inlineStr">
        <is>
          <t>兒童魚油軟糖</t>
        </is>
      </c>
      <c r="D141" s="64" t="inlineStr">
        <is>
          <t>B0G7SGXFC1</t>
        </is>
      </c>
      <c r="E141" s="64" t="inlineStr">
        <is>
          <t>B0G7K1VC4G</t>
        </is>
      </c>
      <c r="F141" s="63" t="inlineStr">
        <is>
          <t>SB_Kids Fish Oil Gummies_child fish oil chewable_B0G7K4CHWG_199</t>
        </is>
      </c>
      <c r="G141" s="66" t="n">
        <v>31.99</v>
      </c>
      <c r="H141" s="18" t="n">
        <v>1</v>
      </c>
      <c r="I141" s="18" t="n">
        <v>1</v>
      </c>
      <c r="J141" s="66" t="n">
        <v>0</v>
      </c>
      <c r="K141" s="110" t="n">
        <v>0</v>
      </c>
    </row>
    <row r="142" ht="15" customHeight="1">
      <c r="A142" s="64" t="inlineStr">
        <is>
          <t>W4</t>
        </is>
      </c>
      <c r="B142" s="170" t="inlineStr">
        <is>
          <t>02/26</t>
        </is>
      </c>
      <c r="C142" s="171" t="inlineStr">
        <is>
          <t>兒童魚油軟糖</t>
        </is>
      </c>
      <c r="D142" s="64" t="inlineStr">
        <is>
          <t>B0G7SGXFC1</t>
        </is>
      </c>
      <c r="E142" s="64" t="inlineStr">
        <is>
          <t>B0G7K1VC4G</t>
        </is>
      </c>
      <c r="F142" s="63" t="inlineStr">
        <is>
          <t>SB_Kids Fish Oil Gummies_kids omega 3 watermelon gummies_B0G7K4CHWG_166</t>
        </is>
      </c>
      <c r="G142" s="66" t="n">
        <v>31.99</v>
      </c>
      <c r="H142" s="18" t="n">
        <v>1</v>
      </c>
      <c r="I142" s="18" t="n">
        <v>1</v>
      </c>
      <c r="J142" s="66" t="n">
        <v>31.99</v>
      </c>
      <c r="K142" s="110" t="n">
        <v>1</v>
      </c>
    </row>
    <row r="143" ht="15" customHeight="1">
      <c r="A143" s="64" t="inlineStr">
        <is>
          <t>W4</t>
        </is>
      </c>
      <c r="B143" s="170" t="inlineStr">
        <is>
          <t>02/26</t>
        </is>
      </c>
      <c r="C143" s="171" t="inlineStr">
        <is>
          <t>兒童魚油軟糖</t>
        </is>
      </c>
      <c r="D143" s="64" t="inlineStr">
        <is>
          <t>B0G7SGXFC1</t>
        </is>
      </c>
      <c r="E143" s="64" t="inlineStr">
        <is>
          <t>B0G7K4CHWG</t>
        </is>
      </c>
      <c r="F143" s="63" t="inlineStr">
        <is>
          <t>SB_Kids Fish Oil Gummies_dha supplement kids_B0G7K4CHWG_122</t>
        </is>
      </c>
      <c r="G143" s="66" t="n">
        <v>16.99</v>
      </c>
      <c r="H143" s="18" t="n">
        <v>1</v>
      </c>
      <c r="I143" s="18" t="n">
        <v>1</v>
      </c>
      <c r="J143" s="66" t="n">
        <v>16.99</v>
      </c>
      <c r="K143" s="110" t="n">
        <v>1</v>
      </c>
    </row>
    <row r="144" ht="15" customHeight="1">
      <c r="A144" s="64" t="inlineStr">
        <is>
          <t>W4</t>
        </is>
      </c>
      <c r="B144" s="170" t="inlineStr">
        <is>
          <t>02/27</t>
        </is>
      </c>
      <c r="C144" s="171" t="inlineStr">
        <is>
          <t>瑪卡粉</t>
        </is>
      </c>
      <c r="D144" s="64" t="inlineStr">
        <is>
          <t>B09Y8VBQTV</t>
        </is>
      </c>
      <c r="E144" s="64" t="inlineStr">
        <is>
          <t>B09Y8VBQTV</t>
        </is>
      </c>
      <c r="F144" s="63" t="inlineStr">
        <is>
          <t>Maca Powder - SBV - B09Y8VBQTV - Manual - BX</t>
        </is>
      </c>
      <c r="G144" s="66" t="n">
        <v>23.39</v>
      </c>
      <c r="H144" s="18" t="n">
        <v>1</v>
      </c>
      <c r="I144" s="18" t="n">
        <v>1</v>
      </c>
      <c r="J144" s="66" t="n">
        <v>23.39</v>
      </c>
      <c r="K144" s="110" t="n">
        <v>1</v>
      </c>
    </row>
    <row r="145" ht="15" customHeight="1">
      <c r="A145" s="64" t="inlineStr">
        <is>
          <t>W4</t>
        </is>
      </c>
      <c r="B145" s="170" t="inlineStr">
        <is>
          <t>02/27</t>
        </is>
      </c>
      <c r="C145" s="171" t="inlineStr">
        <is>
          <t>成人頂級魚油</t>
        </is>
      </c>
      <c r="D145" s="64" t="inlineStr">
        <is>
          <t>B0DYHLCY51</t>
        </is>
      </c>
      <c r="E145" s="64" t="inlineStr">
        <is>
          <t>B0DTTHJCRL</t>
        </is>
      </c>
      <c r="F145" s="63" t="inlineStr">
        <is>
          <t>SB_Kids Fish Oil Gummies_toddler dha gummies_B0G7K4CHWG_199</t>
        </is>
      </c>
      <c r="G145" s="66" t="n">
        <v>26.99</v>
      </c>
      <c r="H145" s="18" t="n">
        <v>1</v>
      </c>
      <c r="I145" s="18" t="n">
        <v>1</v>
      </c>
      <c r="J145" s="66" t="n">
        <v>26.99</v>
      </c>
      <c r="K145" s="110" t="n">
        <v>1</v>
      </c>
    </row>
    <row r="146" ht="15" customHeight="1">
      <c r="A146" s="64" t="inlineStr">
        <is>
          <t>W4</t>
        </is>
      </c>
      <c r="B146" s="170" t="inlineStr">
        <is>
          <t>02/27</t>
        </is>
      </c>
      <c r="C146" s="171" t="inlineStr">
        <is>
          <t>成人頂級魚油</t>
        </is>
      </c>
      <c r="D146" s="64" t="inlineStr">
        <is>
          <t>B0DYHLCY51</t>
        </is>
      </c>
      <c r="E146" s="64" t="inlineStr">
        <is>
          <t>B0DTTHJCRL</t>
        </is>
      </c>
      <c r="F146" s="63" t="inlineStr">
        <is>
          <t>SB_Kids Fish Oil Gummies_omega 3 gummies for kids_B0G7K4CHWG_127</t>
        </is>
      </c>
      <c r="G146" s="66" t="n">
        <v>53.98</v>
      </c>
      <c r="H146" s="18" t="n">
        <v>1</v>
      </c>
      <c r="I146" s="18" t="n">
        <v>2</v>
      </c>
      <c r="J146" s="66" t="n">
        <v>53.98</v>
      </c>
      <c r="K146" s="110" t="n">
        <v>1</v>
      </c>
    </row>
    <row r="147" ht="15" customHeight="1">
      <c r="A147" s="64" t="inlineStr">
        <is>
          <t>W4</t>
        </is>
      </c>
      <c r="B147" s="170" t="inlineStr">
        <is>
          <t>02/27</t>
        </is>
      </c>
      <c r="C147" s="171" t="inlineStr">
        <is>
          <t>成人頂級魚油</t>
        </is>
      </c>
      <c r="D147" s="64" t="inlineStr">
        <is>
          <t>B0DYHLCY51</t>
        </is>
      </c>
      <c r="E147" s="64" t="inlineStr">
        <is>
          <t>B0DTT8T7X1</t>
        </is>
      </c>
      <c r="F147" s="63" t="inlineStr">
        <is>
          <t>SB_Kids Fish Oil Gummies_kids omega 3 raspberry gummies_B0G7K4CHWG_188</t>
        </is>
      </c>
      <c r="G147" s="66" t="n">
        <v>48.99</v>
      </c>
      <c r="H147" s="18" t="n">
        <v>1</v>
      </c>
      <c r="I147" s="18" t="n">
        <v>1</v>
      </c>
      <c r="J147" s="66" t="n">
        <v>48.99</v>
      </c>
      <c r="K147" s="110" t="n">
        <v>1</v>
      </c>
    </row>
    <row r="148" ht="15" customHeight="1">
      <c r="A148" s="64" t="inlineStr">
        <is>
          <t>W4</t>
        </is>
      </c>
      <c r="B148" s="170" t="inlineStr">
        <is>
          <t>02/27</t>
        </is>
      </c>
      <c r="C148" s="171" t="inlineStr">
        <is>
          <t>苦瓜酵素</t>
        </is>
      </c>
      <c r="D148" s="64" t="inlineStr">
        <is>
          <t>B0FF4WBTWX</t>
        </is>
      </c>
      <c r="E148" s="64" t="inlineStr">
        <is>
          <t>B0DV3VX26C</t>
        </is>
      </c>
      <c r="F148" s="63" t="inlineStr">
        <is>
          <t>Bitter Melon - SBV - B0CPSQYJK4 - SPM - BX</t>
        </is>
      </c>
      <c r="G148" s="66" t="n">
        <v>27.49</v>
      </c>
      <c r="H148" s="18" t="n">
        <v>1</v>
      </c>
      <c r="I148" s="18" t="n">
        <v>1</v>
      </c>
      <c r="J148" s="66" t="n">
        <v>27.49</v>
      </c>
      <c r="K148" s="110" t="n">
        <v>1</v>
      </c>
    </row>
    <row r="149" ht="15" customHeight="1">
      <c r="A149" s="64" t="inlineStr">
        <is>
          <t>W4</t>
        </is>
      </c>
      <c r="B149" s="170" t="inlineStr">
        <is>
          <t>02/27</t>
        </is>
      </c>
      <c r="C149" s="171" t="inlineStr">
        <is>
          <t>兒童魚油軟糖</t>
        </is>
      </c>
      <c r="D149" s="64" t="inlineStr">
        <is>
          <t>B0G7SGXFC1</t>
        </is>
      </c>
      <c r="E149" s="64" t="inlineStr">
        <is>
          <t>B0G7K1VC4G</t>
        </is>
      </c>
      <c r="F149" s="63" t="inlineStr">
        <is>
          <t>SB_Kids Fish Oil Gummies_kids omega 3 raspberry gummies_B0G7K4CHWG_188</t>
        </is>
      </c>
      <c r="G149" s="66" t="n">
        <v>31.99</v>
      </c>
      <c r="H149" s="18" t="n">
        <v>1</v>
      </c>
      <c r="I149" s="18" t="n">
        <v>1</v>
      </c>
      <c r="J149" s="66" t="n">
        <v>0</v>
      </c>
      <c r="K149" s="110" t="n">
        <v>0</v>
      </c>
    </row>
    <row r="150" ht="15" customHeight="1">
      <c r="A150" s="64" t="inlineStr">
        <is>
          <t>W4</t>
        </is>
      </c>
      <c r="B150" s="170" t="inlineStr">
        <is>
          <t>02/28</t>
        </is>
      </c>
      <c r="C150" s="171" t="inlineStr">
        <is>
          <t>瑪卡粉</t>
        </is>
      </c>
      <c r="D150" s="64" t="inlineStr">
        <is>
          <t>B09Y8VBQTV</t>
        </is>
      </c>
      <c r="E150" s="64" t="inlineStr">
        <is>
          <t>B09Y8VBQTV</t>
        </is>
      </c>
      <c r="F150" s="63" t="inlineStr">
        <is>
          <t>Maca Powder - SBV - B09Y8VBQTV - Manual - BX</t>
        </is>
      </c>
      <c r="G150" s="66" t="n">
        <v>46.78</v>
      </c>
      <c r="H150" s="18" t="n">
        <v>2</v>
      </c>
      <c r="I150" s="18" t="n">
        <v>2</v>
      </c>
      <c r="J150" s="66" t="n">
        <v>23.39</v>
      </c>
      <c r="K150" s="110" t="n">
        <v>1</v>
      </c>
    </row>
    <row r="151" ht="15" customHeight="1">
      <c r="A151" s="64" t="inlineStr">
        <is>
          <t>W4</t>
        </is>
      </c>
      <c r="B151" s="170" t="inlineStr">
        <is>
          <t>02/28</t>
        </is>
      </c>
      <c r="C151" s="171" t="inlineStr">
        <is>
          <t>納豆激酶</t>
        </is>
      </c>
      <c r="D151" s="64" t="inlineStr">
        <is>
          <t>B0DTV2XP8T</t>
        </is>
      </c>
      <c r="E151" s="64" t="inlineStr">
        <is>
          <t>B0DTYCNVQV</t>
        </is>
      </c>
      <c r="F151" s="63" t="inlineStr">
        <is>
          <t>SB_BROAD_B0DTYCNVQV_AUDIENCE10_nattokinase tablets 120 count</t>
        </is>
      </c>
      <c r="G151" s="66" t="n">
        <v>27.99</v>
      </c>
      <c r="H151" s="18" t="n">
        <v>1</v>
      </c>
      <c r="I151" s="18" t="n">
        <v>1</v>
      </c>
      <c r="J151" s="66" t="n">
        <v>27.99</v>
      </c>
      <c r="K151" s="110" t="n">
        <v>1</v>
      </c>
    </row>
    <row r="152" ht="15" customHeight="1">
      <c r="A152" s="64" t="inlineStr">
        <is>
          <t>W4</t>
        </is>
      </c>
      <c r="B152" s="170" t="inlineStr">
        <is>
          <t>02/28</t>
        </is>
      </c>
      <c r="C152" s="171" t="inlineStr">
        <is>
          <t>納豆激酶</t>
        </is>
      </c>
      <c r="D152" s="64" t="inlineStr">
        <is>
          <t>B0DTV2XP8T</t>
        </is>
      </c>
      <c r="E152" s="64" t="inlineStr">
        <is>
          <t>B0DTYCNVQV</t>
        </is>
      </c>
      <c r="F152" s="63" t="inlineStr">
        <is>
          <t>SB_BROAD_daily circulation support with nattokinase_110725</t>
        </is>
      </c>
      <c r="G152" s="66" t="n">
        <v>27.99</v>
      </c>
      <c r="H152" s="18" t="n">
        <v>1</v>
      </c>
      <c r="I152" s="18" t="n">
        <v>1</v>
      </c>
      <c r="J152" s="66" t="n">
        <v>27.99</v>
      </c>
      <c r="K152" s="110" t="n">
        <v>1</v>
      </c>
    </row>
    <row r="153" ht="15" customHeight="1">
      <c r="A153" s="64" t="inlineStr">
        <is>
          <t>W4</t>
        </is>
      </c>
      <c r="B153" s="170" t="inlineStr">
        <is>
          <t>02/28</t>
        </is>
      </c>
      <c r="C153" s="171" t="inlineStr">
        <is>
          <t>納豆激酶</t>
        </is>
      </c>
      <c r="D153" s="64" t="inlineStr">
        <is>
          <t>B0DTV2XP8T</t>
        </is>
      </c>
      <c r="E153" s="64" t="inlineStr">
        <is>
          <t>B0DTYCNVQV</t>
        </is>
      </c>
      <c r="F153" s="63" t="inlineStr">
        <is>
          <t>SB_BROAD_nattokinase vegan capsules_111025</t>
        </is>
      </c>
      <c r="G153" s="66" t="n">
        <v>27.99</v>
      </c>
      <c r="H153" s="18" t="n">
        <v>1</v>
      </c>
      <c r="I153" s="18" t="n">
        <v>1</v>
      </c>
      <c r="J153" s="66" t="n">
        <v>27.99</v>
      </c>
      <c r="K153" s="110" t="n">
        <v>1</v>
      </c>
    </row>
    <row r="154" ht="15" customHeight="1">
      <c r="A154" s="64" t="inlineStr">
        <is>
          <t>W4</t>
        </is>
      </c>
      <c r="B154" s="170" t="inlineStr">
        <is>
          <t>02/28</t>
        </is>
      </c>
      <c r="C154" s="171" t="inlineStr">
        <is>
          <t>成人頂級魚油</t>
        </is>
      </c>
      <c r="D154" s="64" t="inlineStr">
        <is>
          <t>B0DYHLCY51</t>
        </is>
      </c>
      <c r="E154" s="64" t="inlineStr">
        <is>
          <t>B0DTT8T7X1</t>
        </is>
      </c>
      <c r="F154" s="63" t="inlineStr">
        <is>
          <t>SB_Kids Fish Oil Gummies_child fish oil chewable_B0G7K4CHWG_199</t>
        </is>
      </c>
      <c r="G154" s="66" t="n">
        <v>48.99</v>
      </c>
      <c r="H154" s="18" t="n">
        <v>1</v>
      </c>
      <c r="I154" s="18" t="n">
        <v>1</v>
      </c>
      <c r="J154" s="66" t="n">
        <v>48.99</v>
      </c>
      <c r="K154" s="110" t="n">
        <v>1</v>
      </c>
    </row>
    <row r="155" ht="15" customHeight="1">
      <c r="A155" s="64" t="inlineStr">
        <is>
          <t>W4</t>
        </is>
      </c>
      <c r="B155" s="170" t="inlineStr">
        <is>
          <t>02/28</t>
        </is>
      </c>
      <c r="C155" s="171" t="inlineStr">
        <is>
          <t>兒童魚油軟糖</t>
        </is>
      </c>
      <c r="D155" s="64" t="inlineStr">
        <is>
          <t>B0G7SGXFC1</t>
        </is>
      </c>
      <c r="E155" s="64" t="inlineStr">
        <is>
          <t>B0G7K4CHWG</t>
        </is>
      </c>
      <c r="F155" s="63" t="inlineStr">
        <is>
          <t>SB_Kids Fish Oil Gummies_omega 3 gummies for kids_B0G7K4CHWG_127</t>
        </is>
      </c>
      <c r="G155" s="66" t="n">
        <v>16.99</v>
      </c>
      <c r="H155" s="18" t="n">
        <v>1</v>
      </c>
      <c r="I155" s="18" t="n">
        <v>1</v>
      </c>
      <c r="J155" s="66" t="n">
        <v>16.99</v>
      </c>
      <c r="K155" s="110" t="n">
        <v>1</v>
      </c>
    </row>
    <row r="156" ht="16" customHeight="1">
      <c r="A156" s="172" t="inlineStr">
        <is>
          <t xml:space="preserve">  W5 — Mar 1–7  |  49 筆  |  Sales $1,723  Orders 52  NTB $1,723</t>
        </is>
      </c>
    </row>
    <row r="157" ht="15" customHeight="1">
      <c r="A157" s="71" t="inlineStr">
        <is>
          <t>W5</t>
        </is>
      </c>
      <c r="B157" s="173" t="inlineStr">
        <is>
          <t>03/01</t>
        </is>
      </c>
      <c r="C157" s="174" t="inlineStr">
        <is>
          <t>納豆激酶</t>
        </is>
      </c>
      <c r="D157" s="71" t="inlineStr">
        <is>
          <t>B0DTV2XP8T</t>
        </is>
      </c>
      <c r="E157" s="71" t="inlineStr">
        <is>
          <t>B0DTYCNVQV</t>
        </is>
      </c>
      <c r="F157" s="70" t="inlineStr">
        <is>
          <t>SB_BROAD_kosher nattokinase_110525_1</t>
        </is>
      </c>
      <c r="G157" s="73" t="n">
        <v>27.99</v>
      </c>
      <c r="H157" s="20" t="n">
        <v>1</v>
      </c>
      <c r="I157" s="20" t="n">
        <v>1</v>
      </c>
      <c r="J157" s="73" t="n">
        <v>27.99</v>
      </c>
      <c r="K157" s="113" t="n">
        <v>1</v>
      </c>
    </row>
    <row r="158" ht="15" customHeight="1">
      <c r="A158" s="71" t="inlineStr">
        <is>
          <t>W5</t>
        </is>
      </c>
      <c r="B158" s="173" t="inlineStr">
        <is>
          <t>03/01</t>
        </is>
      </c>
      <c r="C158" s="174" t="inlineStr">
        <is>
          <t>納豆激酶</t>
        </is>
      </c>
      <c r="D158" s="71" t="inlineStr">
        <is>
          <t>B0DTV2XP8T</t>
        </is>
      </c>
      <c r="E158" s="71" t="inlineStr">
        <is>
          <t>B0DTYLYN6B</t>
        </is>
      </c>
      <c r="F158" s="70" t="inlineStr">
        <is>
          <t>SB_BROAD_herbal support formula containing nattokinase_110725</t>
        </is>
      </c>
      <c r="G158" s="73" t="n">
        <v>53.19</v>
      </c>
      <c r="H158" s="20" t="n">
        <v>1</v>
      </c>
      <c r="I158" s="20" t="n">
        <v>1</v>
      </c>
      <c r="J158" s="73" t="n">
        <v>53.19</v>
      </c>
      <c r="K158" s="113" t="n">
        <v>1</v>
      </c>
    </row>
    <row r="159" ht="15" customHeight="1">
      <c r="A159" s="71" t="inlineStr">
        <is>
          <t>W5</t>
        </is>
      </c>
      <c r="B159" s="173" t="inlineStr">
        <is>
          <t>03/01</t>
        </is>
      </c>
      <c r="C159" s="174" t="inlineStr">
        <is>
          <t>納豆激酶</t>
        </is>
      </c>
      <c r="D159" s="71" t="inlineStr">
        <is>
          <t>B0DTV2XP8T</t>
        </is>
      </c>
      <c r="E159" s="71" t="inlineStr">
        <is>
          <t>B0DTYCNVQV</t>
        </is>
      </c>
      <c r="F159" s="70" t="inlineStr">
        <is>
          <t>SB_BROAD_aging support supplemented by nattokinase_110725</t>
        </is>
      </c>
      <c r="G159" s="73" t="n">
        <v>27.99</v>
      </c>
      <c r="H159" s="20" t="n">
        <v>1</v>
      </c>
      <c r="I159" s="20" t="n">
        <v>1</v>
      </c>
      <c r="J159" s="73" t="n">
        <v>27.99</v>
      </c>
      <c r="K159" s="113" t="n">
        <v>1</v>
      </c>
    </row>
    <row r="160" ht="15" customHeight="1">
      <c r="A160" s="71" t="inlineStr">
        <is>
          <t>W5</t>
        </is>
      </c>
      <c r="B160" s="173" t="inlineStr">
        <is>
          <t>03/01</t>
        </is>
      </c>
      <c r="C160" s="174" t="inlineStr">
        <is>
          <t>納豆激酶</t>
        </is>
      </c>
      <c r="D160" s="71" t="inlineStr">
        <is>
          <t>B0DTV2XP8T</t>
        </is>
      </c>
      <c r="E160" s="71" t="inlineStr">
        <is>
          <t>B0DTYCNVQV</t>
        </is>
      </c>
      <c r="F160" s="70" t="inlineStr">
        <is>
          <t>SB_BROAD_natural extract source of nattokinase_110725</t>
        </is>
      </c>
      <c r="G160" s="73" t="n">
        <v>27.99</v>
      </c>
      <c r="H160" s="20" t="n">
        <v>1</v>
      </c>
      <c r="I160" s="20" t="n">
        <v>1</v>
      </c>
      <c r="J160" s="73" t="n">
        <v>27.99</v>
      </c>
      <c r="K160" s="113" t="n">
        <v>1</v>
      </c>
    </row>
    <row r="161" ht="15" customHeight="1">
      <c r="A161" s="71" t="inlineStr">
        <is>
          <t>W5</t>
        </is>
      </c>
      <c r="B161" s="173" t="inlineStr">
        <is>
          <t>03/01</t>
        </is>
      </c>
      <c r="C161" s="174" t="inlineStr">
        <is>
          <t>納豆激酶</t>
        </is>
      </c>
      <c r="D161" s="71" t="inlineStr">
        <is>
          <t>B0DTV2XP8T</t>
        </is>
      </c>
      <c r="E161" s="71" t="inlineStr">
        <is>
          <t>B0DTYCNVQV</t>
        </is>
      </c>
      <c r="F161" s="70" t="inlineStr">
        <is>
          <t>SB_BROAD_professional grade nattokinase_110525_1</t>
        </is>
      </c>
      <c r="G161" s="73" t="n">
        <v>27.99</v>
      </c>
      <c r="H161" s="20" t="n">
        <v>1</v>
      </c>
      <c r="I161" s="20" t="n">
        <v>1</v>
      </c>
      <c r="J161" s="73" t="n">
        <v>27.99</v>
      </c>
      <c r="K161" s="113" t="n">
        <v>1</v>
      </c>
    </row>
    <row r="162" ht="15" customHeight="1">
      <c r="A162" s="71" t="inlineStr">
        <is>
          <t>W5</t>
        </is>
      </c>
      <c r="B162" s="173" t="inlineStr">
        <is>
          <t>03/01</t>
        </is>
      </c>
      <c r="C162" s="174" t="inlineStr">
        <is>
          <t>納豆激酶</t>
        </is>
      </c>
      <c r="D162" s="71" t="inlineStr">
        <is>
          <t>B0DTV2XP8T</t>
        </is>
      </c>
      <c r="E162" s="71" t="inlineStr">
        <is>
          <t>B0DTYLYN6B</t>
        </is>
      </c>
      <c r="F162" s="70" t="inlineStr">
        <is>
          <t>SB_BROAD_nattokinase heart health_110525_1</t>
        </is>
      </c>
      <c r="G162" s="73" t="n">
        <v>159.57</v>
      </c>
      <c r="H162" s="20" t="n">
        <v>1</v>
      </c>
      <c r="I162" s="20" t="n">
        <v>3</v>
      </c>
      <c r="J162" s="73" t="n">
        <v>159.57</v>
      </c>
      <c r="K162" s="113" t="n">
        <v>1</v>
      </c>
    </row>
    <row r="163" ht="15" customHeight="1">
      <c r="A163" s="71" t="inlineStr">
        <is>
          <t>W5</t>
        </is>
      </c>
      <c r="B163" s="173" t="inlineStr">
        <is>
          <t>03/01</t>
        </is>
      </c>
      <c r="C163" s="174" t="inlineStr">
        <is>
          <t>成人頂級魚油</t>
        </is>
      </c>
      <c r="D163" s="71" t="inlineStr">
        <is>
          <t>B0DYHLCY51</t>
        </is>
      </c>
      <c r="E163" s="71" t="inlineStr">
        <is>
          <t>B0DTTHJCRL</t>
        </is>
      </c>
      <c r="F163" s="70" t="inlineStr">
        <is>
          <t>SB_Kids Fish Oil Gummies_childrens fish oil_B0G7K4CHWG_122</t>
        </is>
      </c>
      <c r="G163" s="73" t="n">
        <v>26.99</v>
      </c>
      <c r="H163" s="20" t="n">
        <v>1</v>
      </c>
      <c r="I163" s="20" t="n">
        <v>1</v>
      </c>
      <c r="J163" s="73" t="n">
        <v>26.99</v>
      </c>
      <c r="K163" s="113" t="n">
        <v>1</v>
      </c>
    </row>
    <row r="164" ht="15" customHeight="1">
      <c r="A164" s="71" t="inlineStr">
        <is>
          <t>W5</t>
        </is>
      </c>
      <c r="B164" s="173" t="inlineStr">
        <is>
          <t>03/01</t>
        </is>
      </c>
      <c r="C164" s="174" t="inlineStr">
        <is>
          <t>兒童魚油軟糖</t>
        </is>
      </c>
      <c r="D164" s="71" t="inlineStr">
        <is>
          <t>B0G7SGXFC1</t>
        </is>
      </c>
      <c r="E164" s="71" t="inlineStr">
        <is>
          <t>B0G7K4CHWG</t>
        </is>
      </c>
      <c r="F164" s="70" t="inlineStr">
        <is>
          <t>SB_Kids Fish Oil Gummies_childrens fish oil_B0G7K4CHWG_122</t>
        </is>
      </c>
      <c r="G164" s="73" t="n">
        <v>16.99</v>
      </c>
      <c r="H164" s="20" t="n">
        <v>1</v>
      </c>
      <c r="I164" s="20" t="n">
        <v>1</v>
      </c>
      <c r="J164" s="73" t="n">
        <v>16.99</v>
      </c>
      <c r="K164" s="113" t="n">
        <v>1</v>
      </c>
    </row>
    <row r="165" ht="15" customHeight="1">
      <c r="A165" s="71" t="inlineStr">
        <is>
          <t>W5</t>
        </is>
      </c>
      <c r="B165" s="173" t="inlineStr">
        <is>
          <t>03/01</t>
        </is>
      </c>
      <c r="C165" s="174" t="inlineStr">
        <is>
          <t>兒童魚油軟糖</t>
        </is>
      </c>
      <c r="D165" s="71" t="inlineStr">
        <is>
          <t>B0G7SGXFC1</t>
        </is>
      </c>
      <c r="E165" s="71" t="inlineStr">
        <is>
          <t>B0G7K4CHWG</t>
        </is>
      </c>
      <c r="F165" s="70" t="inlineStr">
        <is>
          <t>SB_Kids Fish Oil Gummies_child fish oil chewable_B0G7K4CHWG_199</t>
        </is>
      </c>
      <c r="G165" s="73" t="n">
        <v>50.97</v>
      </c>
      <c r="H165" s="20" t="n">
        <v>2</v>
      </c>
      <c r="I165" s="20" t="n">
        <v>3</v>
      </c>
      <c r="J165" s="73" t="n">
        <v>50.97</v>
      </c>
      <c r="K165" s="113" t="n">
        <v>2</v>
      </c>
    </row>
    <row r="166" ht="15" customHeight="1">
      <c r="A166" s="71" t="inlineStr">
        <is>
          <t>W5</t>
        </is>
      </c>
      <c r="B166" s="173" t="inlineStr">
        <is>
          <t>03/02</t>
        </is>
      </c>
      <c r="C166" s="174" t="inlineStr">
        <is>
          <t>瑪卡粉</t>
        </is>
      </c>
      <c r="D166" s="71" t="inlineStr">
        <is>
          <t>B09Y8VBQTV</t>
        </is>
      </c>
      <c r="E166" s="71" t="inlineStr">
        <is>
          <t>B09Y8VBQTV</t>
        </is>
      </c>
      <c r="F166" s="70" t="inlineStr">
        <is>
          <t>Maca Powder - SBV - B09Y8VBQTV - Manual - BX</t>
        </is>
      </c>
      <c r="G166" s="73" t="n">
        <v>23.39</v>
      </c>
      <c r="H166" s="20" t="n">
        <v>1</v>
      </c>
      <c r="I166" s="20" t="n">
        <v>1</v>
      </c>
      <c r="J166" s="73" t="n">
        <v>23.39</v>
      </c>
      <c r="K166" s="113" t="n">
        <v>1</v>
      </c>
    </row>
    <row r="167" ht="15" customHeight="1">
      <c r="A167" s="71" t="inlineStr">
        <is>
          <t>W5</t>
        </is>
      </c>
      <c r="B167" s="173" t="inlineStr">
        <is>
          <t>03/02</t>
        </is>
      </c>
      <c r="C167" s="174" t="inlineStr">
        <is>
          <t>納豆激酶</t>
        </is>
      </c>
      <c r="D167" s="71" t="inlineStr">
        <is>
          <t>B0DTV2XP8T</t>
        </is>
      </c>
      <c r="E167" s="71" t="inlineStr">
        <is>
          <t>B0DTYCNVQV</t>
        </is>
      </c>
      <c r="F167" s="70" t="inlineStr">
        <is>
          <t>SB_BROAD_nattokinase powder_111025</t>
        </is>
      </c>
      <c r="G167" s="73" t="n">
        <v>27.99</v>
      </c>
      <c r="H167" s="20" t="n">
        <v>1</v>
      </c>
      <c r="I167" s="20" t="n">
        <v>1</v>
      </c>
      <c r="J167" s="73" t="n">
        <v>27.99</v>
      </c>
      <c r="K167" s="113" t="n">
        <v>1</v>
      </c>
    </row>
    <row r="168" ht="15" customHeight="1">
      <c r="A168" s="71" t="inlineStr">
        <is>
          <t>W5</t>
        </is>
      </c>
      <c r="B168" s="173" t="inlineStr">
        <is>
          <t>03/02</t>
        </is>
      </c>
      <c r="C168" s="174" t="inlineStr">
        <is>
          <t>兒童魚油軟糖</t>
        </is>
      </c>
      <c r="D168" s="71" t="inlineStr">
        <is>
          <t>B0G7SGXFC1</t>
        </is>
      </c>
      <c r="E168" s="71" t="inlineStr">
        <is>
          <t>B0G7K4CHWG</t>
        </is>
      </c>
      <c r="F168" s="70" t="inlineStr">
        <is>
          <t>SB_Kids Fish Oil Gummies_dha gummy for children_B0G7K4CHWG_137</t>
        </is>
      </c>
      <c r="G168" s="73" t="n">
        <v>16.99</v>
      </c>
      <c r="H168" s="20" t="n">
        <v>1</v>
      </c>
      <c r="I168" s="20" t="n">
        <v>1</v>
      </c>
      <c r="J168" s="73" t="n">
        <v>16.99</v>
      </c>
      <c r="K168" s="113" t="n">
        <v>1</v>
      </c>
    </row>
    <row r="169" ht="15" customHeight="1">
      <c r="A169" s="71" t="inlineStr">
        <is>
          <t>W5</t>
        </is>
      </c>
      <c r="B169" s="173" t="inlineStr">
        <is>
          <t>03/03</t>
        </is>
      </c>
      <c r="C169" s="174" t="inlineStr">
        <is>
          <t>納豆激酶</t>
        </is>
      </c>
      <c r="D169" s="71" t="inlineStr">
        <is>
          <t>B0DTV2XP8T</t>
        </is>
      </c>
      <c r="E169" s="71" t="inlineStr">
        <is>
          <t>B0DTYCNVQV</t>
        </is>
      </c>
      <c r="F169" s="70" t="inlineStr">
        <is>
          <t>SB_BROAD_professional grade nattokinase_110525_1</t>
        </is>
      </c>
      <c r="G169" s="73" t="n">
        <v>27.99</v>
      </c>
      <c r="H169" s="20" t="n">
        <v>1</v>
      </c>
      <c r="I169" s="20" t="n">
        <v>1</v>
      </c>
      <c r="J169" s="73" t="n">
        <v>27.99</v>
      </c>
      <c r="K169" s="113" t="n">
        <v>1</v>
      </c>
    </row>
    <row r="170" ht="15" customHeight="1">
      <c r="A170" s="71" t="inlineStr">
        <is>
          <t>W5</t>
        </is>
      </c>
      <c r="B170" s="173" t="inlineStr">
        <is>
          <t>03/03</t>
        </is>
      </c>
      <c r="C170" s="174" t="inlineStr">
        <is>
          <t>納豆激酶</t>
        </is>
      </c>
      <c r="D170" s="71" t="inlineStr">
        <is>
          <t>B0DTV2XP8T</t>
        </is>
      </c>
      <c r="E170" s="71" t="inlineStr">
        <is>
          <t>B0DTYCNVQV</t>
        </is>
      </c>
      <c r="F170" s="70" t="inlineStr">
        <is>
          <t>SB_BROAD_cardiovascular support supplement_110525_1</t>
        </is>
      </c>
      <c r="G170" s="73" t="n">
        <v>27.99</v>
      </c>
      <c r="H170" s="20" t="n">
        <v>1</v>
      </c>
      <c r="I170" s="20" t="n">
        <v>1</v>
      </c>
      <c r="J170" s="73" t="n">
        <v>27.99</v>
      </c>
      <c r="K170" s="113" t="n">
        <v>1</v>
      </c>
    </row>
    <row r="171" ht="15" customHeight="1">
      <c r="A171" s="71" t="inlineStr">
        <is>
          <t>W5</t>
        </is>
      </c>
      <c r="B171" s="173" t="inlineStr">
        <is>
          <t>03/03</t>
        </is>
      </c>
      <c r="C171" s="174" t="inlineStr">
        <is>
          <t>納豆激酶</t>
        </is>
      </c>
      <c r="D171" s="71" t="inlineStr">
        <is>
          <t>B0DTV2XP8T</t>
        </is>
      </c>
      <c r="E171" s="71" t="inlineStr">
        <is>
          <t>B0DTYCNVQV</t>
        </is>
      </c>
      <c r="F171" s="70" t="inlineStr">
        <is>
          <t>SB_BROAD_daily supplement featuring nattokinase_110725</t>
        </is>
      </c>
      <c r="G171" s="73" t="n">
        <v>27.99</v>
      </c>
      <c r="H171" s="20" t="n">
        <v>1</v>
      </c>
      <c r="I171" s="20" t="n">
        <v>1</v>
      </c>
      <c r="J171" s="73" t="n">
        <v>27.99</v>
      </c>
      <c r="K171" s="113" t="n">
        <v>1</v>
      </c>
    </row>
    <row r="172" ht="15" customHeight="1">
      <c r="A172" s="71" t="inlineStr">
        <is>
          <t>W5</t>
        </is>
      </c>
      <c r="B172" s="173" t="inlineStr">
        <is>
          <t>03/03</t>
        </is>
      </c>
      <c r="C172" s="174" t="inlineStr">
        <is>
          <t>納豆激酶</t>
        </is>
      </c>
      <c r="D172" s="71" t="inlineStr">
        <is>
          <t>B0DTV2XP8T</t>
        </is>
      </c>
      <c r="E172" s="71" t="inlineStr">
        <is>
          <t>B0DTYCNVQV</t>
        </is>
      </c>
      <c r="F172" s="70" t="inlineStr">
        <is>
          <t>SB_BROAD_aging support supplemented by nattokinase_110725</t>
        </is>
      </c>
      <c r="G172" s="73" t="n">
        <v>55.98</v>
      </c>
      <c r="H172" s="20" t="n">
        <v>2</v>
      </c>
      <c r="I172" s="20" t="n">
        <v>2</v>
      </c>
      <c r="J172" s="73" t="n">
        <v>55.98</v>
      </c>
      <c r="K172" s="113" t="n">
        <v>2</v>
      </c>
    </row>
    <row r="173" ht="15" customHeight="1">
      <c r="A173" s="71" t="inlineStr">
        <is>
          <t>W5</t>
        </is>
      </c>
      <c r="B173" s="173" t="inlineStr">
        <is>
          <t>03/03</t>
        </is>
      </c>
      <c r="C173" s="174" t="inlineStr">
        <is>
          <t>納豆激酶</t>
        </is>
      </c>
      <c r="D173" s="71" t="inlineStr">
        <is>
          <t>B0DTV2XP8T</t>
        </is>
      </c>
      <c r="E173" s="71" t="inlineStr">
        <is>
          <t>B0DTYLYN6B</t>
        </is>
      </c>
      <c r="F173" s="70" t="inlineStr">
        <is>
          <t>SB_BROAD_professional grade nattokinase_110525_1</t>
        </is>
      </c>
      <c r="G173" s="73" t="n">
        <v>53.19</v>
      </c>
      <c r="H173" s="20" t="n">
        <v>1</v>
      </c>
      <c r="I173" s="20" t="n">
        <v>1</v>
      </c>
      <c r="J173" s="73" t="n">
        <v>53.19</v>
      </c>
      <c r="K173" s="113" t="n">
        <v>1</v>
      </c>
    </row>
    <row r="174" ht="15" customHeight="1">
      <c r="A174" s="71" t="inlineStr">
        <is>
          <t>W5</t>
        </is>
      </c>
      <c r="B174" s="173" t="inlineStr">
        <is>
          <t>03/03</t>
        </is>
      </c>
      <c r="C174" s="174" t="inlineStr">
        <is>
          <t>納豆激酶</t>
        </is>
      </c>
      <c r="D174" s="71" t="inlineStr">
        <is>
          <t>B0DTV2XP8T</t>
        </is>
      </c>
      <c r="E174" s="71" t="inlineStr">
        <is>
          <t>B0DTYCNVQV</t>
        </is>
      </c>
      <c r="F174" s="70" t="inlineStr">
        <is>
          <t>SB_BROAD_B0DTYCNVQV_AUDIENCE10_nattokinase tablets 120 count</t>
        </is>
      </c>
      <c r="G174" s="73" t="n">
        <v>27.99</v>
      </c>
      <c r="H174" s="20" t="n">
        <v>1</v>
      </c>
      <c r="I174" s="20" t="n">
        <v>1</v>
      </c>
      <c r="J174" s="73" t="n">
        <v>27.99</v>
      </c>
      <c r="K174" s="113" t="n">
        <v>1</v>
      </c>
    </row>
    <row r="175" ht="15" customHeight="1">
      <c r="A175" s="71" t="inlineStr">
        <is>
          <t>W5</t>
        </is>
      </c>
      <c r="B175" s="173" t="inlineStr">
        <is>
          <t>03/03</t>
        </is>
      </c>
      <c r="C175" s="174" t="inlineStr">
        <is>
          <t>納豆激酶</t>
        </is>
      </c>
      <c r="D175" s="71" t="inlineStr">
        <is>
          <t>B0DTV2XP8T</t>
        </is>
      </c>
      <c r="E175" s="71" t="inlineStr">
        <is>
          <t>B0DTYCNVQV</t>
        </is>
      </c>
      <c r="F175" s="70" t="inlineStr">
        <is>
          <t>SB_nattokinase now brand comparab_1103_1109</t>
        </is>
      </c>
      <c r="G175" s="73" t="n">
        <v>27.99</v>
      </c>
      <c r="H175" s="20" t="n">
        <v>1</v>
      </c>
      <c r="I175" s="20" t="n">
        <v>1</v>
      </c>
      <c r="J175" s="73" t="n">
        <v>27.99</v>
      </c>
      <c r="K175" s="113" t="n">
        <v>1</v>
      </c>
    </row>
    <row r="176" ht="15" customHeight="1">
      <c r="A176" s="71" t="inlineStr">
        <is>
          <t>W5</t>
        </is>
      </c>
      <c r="B176" s="173" t="inlineStr">
        <is>
          <t>03/03</t>
        </is>
      </c>
      <c r="C176" s="174" t="inlineStr">
        <is>
          <t>兒童魚油軟糖</t>
        </is>
      </c>
      <c r="D176" s="71" t="inlineStr">
        <is>
          <t>B0G7SGXFC1</t>
        </is>
      </c>
      <c r="E176" s="71" t="inlineStr">
        <is>
          <t>B0G7K4CHWG</t>
        </is>
      </c>
      <c r="F176" s="70" t="inlineStr">
        <is>
          <t>SB_Kids Fish Oil Gummies_children omega 3 immune support_B0G7K4CHWG_199</t>
        </is>
      </c>
      <c r="G176" s="73" t="n">
        <v>16.99</v>
      </c>
      <c r="H176" s="20" t="n">
        <v>1</v>
      </c>
      <c r="I176" s="20" t="n">
        <v>1</v>
      </c>
      <c r="J176" s="73" t="n">
        <v>16.99</v>
      </c>
      <c r="K176" s="113" t="n">
        <v>1</v>
      </c>
    </row>
    <row r="177" ht="15" customHeight="1">
      <c r="A177" s="71" t="inlineStr">
        <is>
          <t>W5</t>
        </is>
      </c>
      <c r="B177" s="173" t="inlineStr">
        <is>
          <t>03/03</t>
        </is>
      </c>
      <c r="C177" s="174" t="inlineStr">
        <is>
          <t>兒童魚油軟糖</t>
        </is>
      </c>
      <c r="D177" s="71" t="inlineStr">
        <is>
          <t>B0G7SGXFC1</t>
        </is>
      </c>
      <c r="E177" s="71" t="inlineStr">
        <is>
          <t>B0G7K4CHWG</t>
        </is>
      </c>
      <c r="F177" s="70" t="inlineStr">
        <is>
          <t>SB_Kids Fish Oil Gummies_child fish oil chewable_B0G7K4CHWG_199</t>
        </is>
      </c>
      <c r="G177" s="73" t="n">
        <v>16.99</v>
      </c>
      <c r="H177" s="20" t="n">
        <v>1</v>
      </c>
      <c r="I177" s="20" t="n">
        <v>1</v>
      </c>
      <c r="J177" s="73" t="n">
        <v>16.99</v>
      </c>
      <c r="K177" s="113" t="n">
        <v>1</v>
      </c>
    </row>
    <row r="178" ht="15" customHeight="1">
      <c r="A178" s="71" t="inlineStr">
        <is>
          <t>W5</t>
        </is>
      </c>
      <c r="B178" s="173" t="inlineStr">
        <is>
          <t>03/03</t>
        </is>
      </c>
      <c r="C178" s="174" t="inlineStr">
        <is>
          <t>兒童魚油軟糖</t>
        </is>
      </c>
      <c r="D178" s="71" t="inlineStr">
        <is>
          <t>B0G7SGXFC1</t>
        </is>
      </c>
      <c r="E178" s="71" t="inlineStr">
        <is>
          <t>B0G7K1VC4G</t>
        </is>
      </c>
      <c r="F178" s="70" t="inlineStr">
        <is>
          <t>SB_Kids Fish Oil Gummies_children fish oil liquid_B0G7K4CHWG_199</t>
        </is>
      </c>
      <c r="G178" s="73" t="n">
        <v>31.99</v>
      </c>
      <c r="H178" s="20" t="n">
        <v>1</v>
      </c>
      <c r="I178" s="20" t="n">
        <v>1</v>
      </c>
      <c r="J178" s="73" t="n">
        <v>31.99</v>
      </c>
      <c r="K178" s="113" t="n">
        <v>1</v>
      </c>
    </row>
    <row r="179" ht="15" customHeight="1">
      <c r="A179" s="71" t="inlineStr">
        <is>
          <t>W5</t>
        </is>
      </c>
      <c r="B179" s="173" t="inlineStr">
        <is>
          <t>03/03</t>
        </is>
      </c>
      <c r="C179" s="174" t="inlineStr">
        <is>
          <t>兒童魚油軟糖</t>
        </is>
      </c>
      <c r="D179" s="71" t="inlineStr">
        <is>
          <t>B0G7SGXFC1</t>
        </is>
      </c>
      <c r="E179" s="71" t="inlineStr">
        <is>
          <t>B0G7K4CHWG</t>
        </is>
      </c>
      <c r="F179" s="70" t="inlineStr">
        <is>
          <t>SB_Kids Fish Oil Gummies_kids dha third party tested_B0G7K4CHWG_199</t>
        </is>
      </c>
      <c r="G179" s="73" t="n">
        <v>16.99</v>
      </c>
      <c r="H179" s="20" t="n">
        <v>1</v>
      </c>
      <c r="I179" s="20" t="n">
        <v>1</v>
      </c>
      <c r="J179" s="73" t="n">
        <v>16.99</v>
      </c>
      <c r="K179" s="113" t="n">
        <v>1</v>
      </c>
    </row>
    <row r="180" ht="15" customHeight="1">
      <c r="A180" s="71" t="inlineStr">
        <is>
          <t>W5</t>
        </is>
      </c>
      <c r="B180" s="173" t="inlineStr">
        <is>
          <t>03/04</t>
        </is>
      </c>
      <c r="C180" s="174" t="inlineStr">
        <is>
          <t>瑪卡粉</t>
        </is>
      </c>
      <c r="D180" s="71" t="inlineStr">
        <is>
          <t>B09Y8VBQTV</t>
        </is>
      </c>
      <c r="E180" s="71" t="inlineStr">
        <is>
          <t>B09Y8VBQTV</t>
        </is>
      </c>
      <c r="F180" s="70" t="inlineStr">
        <is>
          <t>Maca Powder - SBV - B09Y8VBQTV - Manual - BX</t>
        </is>
      </c>
      <c r="G180" s="73" t="n">
        <v>23.39</v>
      </c>
      <c r="H180" s="20" t="n">
        <v>1</v>
      </c>
      <c r="I180" s="20" t="n">
        <v>1</v>
      </c>
      <c r="J180" s="73" t="n">
        <v>23.39</v>
      </c>
      <c r="K180" s="113" t="n">
        <v>1</v>
      </c>
    </row>
    <row r="181" ht="15" customHeight="1">
      <c r="A181" s="71" t="inlineStr">
        <is>
          <t>W5</t>
        </is>
      </c>
      <c r="B181" s="173" t="inlineStr">
        <is>
          <t>03/04</t>
        </is>
      </c>
      <c r="C181" s="174" t="inlineStr">
        <is>
          <t>納豆激酶</t>
        </is>
      </c>
      <c r="D181" s="71" t="inlineStr">
        <is>
          <t>B0DTV2XP8T</t>
        </is>
      </c>
      <c r="E181" s="71" t="inlineStr">
        <is>
          <t>B0DTYCNVQV</t>
        </is>
      </c>
      <c r="F181" s="70" t="inlineStr">
        <is>
          <t>SB_BROAD_nattokinase vegan capsules_111025</t>
        </is>
      </c>
      <c r="G181" s="73" t="n">
        <v>26.59</v>
      </c>
      <c r="H181" s="20" t="n">
        <v>1</v>
      </c>
      <c r="I181" s="20" t="n">
        <v>1</v>
      </c>
      <c r="J181" s="73" t="n">
        <v>26.59</v>
      </c>
      <c r="K181" s="113" t="n">
        <v>1</v>
      </c>
    </row>
    <row r="182" ht="15" customHeight="1">
      <c r="A182" s="71" t="inlineStr">
        <is>
          <t>W5</t>
        </is>
      </c>
      <c r="B182" s="173" t="inlineStr">
        <is>
          <t>03/04</t>
        </is>
      </c>
      <c r="C182" s="174" t="inlineStr">
        <is>
          <t>納豆激酶</t>
        </is>
      </c>
      <c r="D182" s="71" t="inlineStr">
        <is>
          <t>B0DTV2XP8T</t>
        </is>
      </c>
      <c r="E182" s="71" t="inlineStr">
        <is>
          <t>B0DTYCNVQV</t>
        </is>
      </c>
      <c r="F182" s="70" t="inlineStr">
        <is>
          <t>SB_BROAD_nattokinase high strength_110525_1</t>
        </is>
      </c>
      <c r="G182" s="73" t="n">
        <v>27.99</v>
      </c>
      <c r="H182" s="20" t="n">
        <v>1</v>
      </c>
      <c r="I182" s="20" t="n">
        <v>1</v>
      </c>
      <c r="J182" s="73" t="n">
        <v>27.99</v>
      </c>
      <c r="K182" s="113" t="n">
        <v>1</v>
      </c>
    </row>
    <row r="183" ht="15" customHeight="1">
      <c r="A183" s="71" t="inlineStr">
        <is>
          <t>W5</t>
        </is>
      </c>
      <c r="B183" s="173" t="inlineStr">
        <is>
          <t>03/04</t>
        </is>
      </c>
      <c r="C183" s="174" t="inlineStr">
        <is>
          <t>納豆激酶</t>
        </is>
      </c>
      <c r="D183" s="71" t="inlineStr">
        <is>
          <t>B0DTV2XP8T</t>
        </is>
      </c>
      <c r="E183" s="71" t="inlineStr">
        <is>
          <t>B0DTYCNVQV</t>
        </is>
      </c>
      <c r="F183" s="70" t="inlineStr">
        <is>
          <t>SB_BROAD_natural circulation support_110525_1</t>
        </is>
      </c>
      <c r="G183" s="73" t="n">
        <v>27.99</v>
      </c>
      <c r="H183" s="20" t="n">
        <v>1</v>
      </c>
      <c r="I183" s="20" t="n">
        <v>1</v>
      </c>
      <c r="J183" s="73" t="n">
        <v>27.99</v>
      </c>
      <c r="K183" s="113" t="n">
        <v>1</v>
      </c>
    </row>
    <row r="184" ht="15" customHeight="1">
      <c r="A184" s="71" t="inlineStr">
        <is>
          <t>W5</t>
        </is>
      </c>
      <c r="B184" s="173" t="inlineStr">
        <is>
          <t>03/04</t>
        </is>
      </c>
      <c r="C184" s="174" t="inlineStr">
        <is>
          <t>納豆激酶</t>
        </is>
      </c>
      <c r="D184" s="71" t="inlineStr">
        <is>
          <t>B0DTV2XP8T</t>
        </is>
      </c>
      <c r="E184" s="71" t="inlineStr">
        <is>
          <t>B0DTYCNVQV</t>
        </is>
      </c>
      <c r="F184" s="70" t="inlineStr">
        <is>
          <t>SB_BROAD_B0DTYCNVQV_AUDIENCE10_nattokinase tablets 120 count</t>
        </is>
      </c>
      <c r="G184" s="73" t="n">
        <v>27.99</v>
      </c>
      <c r="H184" s="20" t="n">
        <v>1</v>
      </c>
      <c r="I184" s="20" t="n">
        <v>1</v>
      </c>
      <c r="J184" s="73" t="n">
        <v>27.99</v>
      </c>
      <c r="K184" s="113" t="n">
        <v>1</v>
      </c>
    </row>
    <row r="185" ht="15" customHeight="1">
      <c r="A185" s="71" t="inlineStr">
        <is>
          <t>W5</t>
        </is>
      </c>
      <c r="B185" s="173" t="inlineStr">
        <is>
          <t>03/04</t>
        </is>
      </c>
      <c r="C185" s="174" t="inlineStr">
        <is>
          <t>兒童魚油軟糖</t>
        </is>
      </c>
      <c r="D185" s="71" t="inlineStr">
        <is>
          <t>B0G7SGXFC1</t>
        </is>
      </c>
      <c r="E185" s="71" t="inlineStr">
        <is>
          <t>B0G7K4CHWG</t>
        </is>
      </c>
      <c r="F185" s="70" t="inlineStr">
        <is>
          <t>SB_Kids Fish Oil Gummies_child fish oil chewable_B0G7K4CHWG_199</t>
        </is>
      </c>
      <c r="G185" s="73" t="n">
        <v>33.98</v>
      </c>
      <c r="H185" s="20" t="n">
        <v>1</v>
      </c>
      <c r="I185" s="20" t="n">
        <v>2</v>
      </c>
      <c r="J185" s="73" t="n">
        <v>33.98</v>
      </c>
      <c r="K185" s="113" t="n">
        <v>1</v>
      </c>
    </row>
    <row r="186" ht="15" customHeight="1">
      <c r="A186" s="71" t="inlineStr">
        <is>
          <t>W5</t>
        </is>
      </c>
      <c r="B186" s="173" t="inlineStr">
        <is>
          <t>03/04</t>
        </is>
      </c>
      <c r="C186" s="174" t="inlineStr">
        <is>
          <t>兒童魚油軟糖</t>
        </is>
      </c>
      <c r="D186" s="71" t="inlineStr">
        <is>
          <t>B0G7SGXFC1</t>
        </is>
      </c>
      <c r="E186" s="71" t="inlineStr">
        <is>
          <t>B0G7K4CHWG</t>
        </is>
      </c>
      <c r="F186" s="70" t="inlineStr">
        <is>
          <t>SB_Kids Fish Oil Gummies_kids omega 3 6 9_B0G7K4CHWG_133</t>
        </is>
      </c>
      <c r="G186" s="73" t="n">
        <v>33.98</v>
      </c>
      <c r="H186" s="20" t="n">
        <v>1</v>
      </c>
      <c r="I186" s="20" t="n">
        <v>2</v>
      </c>
      <c r="J186" s="73" t="n">
        <v>33.98</v>
      </c>
      <c r="K186" s="113" t="n">
        <v>1</v>
      </c>
    </row>
    <row r="187" ht="15" customHeight="1">
      <c r="A187" s="71" t="inlineStr">
        <is>
          <t>W5</t>
        </is>
      </c>
      <c r="B187" s="173" t="inlineStr">
        <is>
          <t>03/04</t>
        </is>
      </c>
      <c r="C187" s="174" t="inlineStr">
        <is>
          <t>兒童魚油軟糖</t>
        </is>
      </c>
      <c r="D187" s="71" t="inlineStr">
        <is>
          <t>B0G7SGXFC1</t>
        </is>
      </c>
      <c r="E187" s="71" t="inlineStr">
        <is>
          <t>B0G7K4CHWG</t>
        </is>
      </c>
      <c r="F187" s="70" t="inlineStr">
        <is>
          <t>SB_Kids Fish Oil Gummies_dha supplement kids_B0G7K4CHWG_122</t>
        </is>
      </c>
      <c r="G187" s="73" t="n">
        <v>16.99</v>
      </c>
      <c r="H187" s="20" t="n">
        <v>1</v>
      </c>
      <c r="I187" s="20" t="n">
        <v>1</v>
      </c>
      <c r="J187" s="73" t="n">
        <v>16.99</v>
      </c>
      <c r="K187" s="113" t="n">
        <v>1</v>
      </c>
    </row>
    <row r="188" ht="15" customHeight="1">
      <c r="A188" s="71" t="inlineStr">
        <is>
          <t>W5</t>
        </is>
      </c>
      <c r="B188" s="173" t="inlineStr">
        <is>
          <t>03/05</t>
        </is>
      </c>
      <c r="C188" s="174" t="inlineStr">
        <is>
          <t>瑪卡粉</t>
        </is>
      </c>
      <c r="D188" s="71" t="inlineStr">
        <is>
          <t>B09Y8VBQTV</t>
        </is>
      </c>
      <c r="E188" s="71" t="inlineStr">
        <is>
          <t>B09Y8VBQTV</t>
        </is>
      </c>
      <c r="F188" s="70" t="inlineStr">
        <is>
          <t>Maca Powder - SBV - B09Y8VBQTV - Manual - BX</t>
        </is>
      </c>
      <c r="G188" s="73" t="n">
        <v>23.39</v>
      </c>
      <c r="H188" s="20" t="n">
        <v>1</v>
      </c>
      <c r="I188" s="20" t="n">
        <v>1</v>
      </c>
      <c r="J188" s="73" t="n">
        <v>23.39</v>
      </c>
      <c r="K188" s="113" t="n">
        <v>1</v>
      </c>
    </row>
    <row r="189" ht="15" customHeight="1">
      <c r="A189" s="71" t="inlineStr">
        <is>
          <t>W5</t>
        </is>
      </c>
      <c r="B189" s="173" t="inlineStr">
        <is>
          <t>03/05</t>
        </is>
      </c>
      <c r="C189" s="174" t="inlineStr">
        <is>
          <t>納豆激酶</t>
        </is>
      </c>
      <c r="D189" s="71" t="inlineStr">
        <is>
          <t>B0DTV2XP8T</t>
        </is>
      </c>
      <c r="E189" s="71" t="inlineStr">
        <is>
          <t>B0DTYCNVQV</t>
        </is>
      </c>
      <c r="F189" s="70" t="inlineStr">
        <is>
          <t>SB_BROAD_daily circulation support with nattokinase_110725</t>
        </is>
      </c>
      <c r="G189" s="73" t="n">
        <v>27.99</v>
      </c>
      <c r="H189" s="20" t="n">
        <v>1</v>
      </c>
      <c r="I189" s="20" t="n">
        <v>1</v>
      </c>
      <c r="J189" s="73" t="n">
        <v>27.99</v>
      </c>
      <c r="K189" s="113" t="n">
        <v>1</v>
      </c>
    </row>
    <row r="190" ht="15" customHeight="1">
      <c r="A190" s="71" t="inlineStr">
        <is>
          <t>W5</t>
        </is>
      </c>
      <c r="B190" s="173" t="inlineStr">
        <is>
          <t>03/05</t>
        </is>
      </c>
      <c r="C190" s="174" t="inlineStr">
        <is>
          <t>納豆激酶</t>
        </is>
      </c>
      <c r="D190" s="71" t="inlineStr">
        <is>
          <t>B0DTV2XP8T</t>
        </is>
      </c>
      <c r="E190" s="71" t="inlineStr">
        <is>
          <t>B0DTYLYN6B</t>
        </is>
      </c>
      <c r="F190" s="70" t="inlineStr">
        <is>
          <t>SB_BROAD_B0DTYCNVQV_AUDIENCE10_nattokinase tablets 120 count</t>
        </is>
      </c>
      <c r="G190" s="73" t="n">
        <v>53.19</v>
      </c>
      <c r="H190" s="20" t="n">
        <v>1</v>
      </c>
      <c r="I190" s="20" t="n">
        <v>1</v>
      </c>
      <c r="J190" s="73" t="n">
        <v>53.19</v>
      </c>
      <c r="K190" s="113" t="n">
        <v>1</v>
      </c>
    </row>
    <row r="191" ht="15" customHeight="1">
      <c r="A191" s="71" t="inlineStr">
        <is>
          <t>W5</t>
        </is>
      </c>
      <c r="B191" s="173" t="inlineStr">
        <is>
          <t>03/05</t>
        </is>
      </c>
      <c r="C191" s="174" t="inlineStr">
        <is>
          <t>納豆激酶</t>
        </is>
      </c>
      <c r="D191" s="71" t="inlineStr">
        <is>
          <t>B0DTV2XP8T</t>
        </is>
      </c>
      <c r="E191" s="71" t="inlineStr">
        <is>
          <t>B0DTYCNVQV</t>
        </is>
      </c>
      <c r="F191" s="70" t="inlineStr">
        <is>
          <t>SB_BROAD_nattokinase pure_111025</t>
        </is>
      </c>
      <c r="G191" s="73" t="n">
        <v>27.99</v>
      </c>
      <c r="H191" s="20" t="n">
        <v>1</v>
      </c>
      <c r="I191" s="20" t="n">
        <v>1</v>
      </c>
      <c r="J191" s="73" t="n">
        <v>27.99</v>
      </c>
      <c r="K191" s="113" t="n">
        <v>1</v>
      </c>
    </row>
    <row r="192" ht="15" customHeight="1">
      <c r="A192" s="71" t="inlineStr">
        <is>
          <t>W5</t>
        </is>
      </c>
      <c r="B192" s="173" t="inlineStr">
        <is>
          <t>03/05</t>
        </is>
      </c>
      <c r="C192" s="174" t="inlineStr">
        <is>
          <t>納豆激酶</t>
        </is>
      </c>
      <c r="D192" s="71" t="inlineStr">
        <is>
          <t>B0DTV2XP8T</t>
        </is>
      </c>
      <c r="E192" s="71" t="inlineStr">
        <is>
          <t>B0DTYLYN6B</t>
        </is>
      </c>
      <c r="F192" s="70" t="inlineStr">
        <is>
          <t>SB_BROAD_clinical strength nattokinase product_110725</t>
        </is>
      </c>
      <c r="G192" s="73" t="n">
        <v>53.19</v>
      </c>
      <c r="H192" s="20" t="n">
        <v>1</v>
      </c>
      <c r="I192" s="20" t="n">
        <v>1</v>
      </c>
      <c r="J192" s="73" t="n">
        <v>53.19</v>
      </c>
      <c r="K192" s="113" t="n">
        <v>1</v>
      </c>
    </row>
    <row r="193" ht="15" customHeight="1">
      <c r="A193" s="71" t="inlineStr">
        <is>
          <t>W5</t>
        </is>
      </c>
      <c r="B193" s="173" t="inlineStr">
        <is>
          <t>03/05</t>
        </is>
      </c>
      <c r="C193" s="174" t="inlineStr">
        <is>
          <t>納豆激酶</t>
        </is>
      </c>
      <c r="D193" s="71" t="inlineStr">
        <is>
          <t>B0DTV2XP8T</t>
        </is>
      </c>
      <c r="E193" s="71" t="inlineStr">
        <is>
          <t>B0DTYLYN6B</t>
        </is>
      </c>
      <c r="F193" s="70" t="inlineStr">
        <is>
          <t>SB_BROAD_natural cardio support using nattokinase_110725</t>
        </is>
      </c>
      <c r="G193" s="73" t="n">
        <v>53.19</v>
      </c>
      <c r="H193" s="20" t="n">
        <v>1</v>
      </c>
      <c r="I193" s="20" t="n">
        <v>1</v>
      </c>
      <c r="J193" s="73" t="n">
        <v>53.19</v>
      </c>
      <c r="K193" s="113" t="n">
        <v>1</v>
      </c>
    </row>
    <row r="194" ht="15" customHeight="1">
      <c r="A194" s="71" t="inlineStr">
        <is>
          <t>W5</t>
        </is>
      </c>
      <c r="B194" s="173" t="inlineStr">
        <is>
          <t>03/05</t>
        </is>
      </c>
      <c r="C194" s="174" t="inlineStr">
        <is>
          <t>兒童魚油軟糖</t>
        </is>
      </c>
      <c r="D194" s="71" t="inlineStr">
        <is>
          <t>B0G7SGXFC1</t>
        </is>
      </c>
      <c r="E194" s="71" t="inlineStr">
        <is>
          <t>B0G7K4CHWG</t>
        </is>
      </c>
      <c r="F194" s="70" t="inlineStr">
        <is>
          <t>SB_Kids Fish Oil Gummies_children dha high potency_B0G7K4CHWG_144</t>
        </is>
      </c>
      <c r="G194" s="73" t="n">
        <v>16.99</v>
      </c>
      <c r="H194" s="20" t="n">
        <v>1</v>
      </c>
      <c r="I194" s="20" t="n">
        <v>1</v>
      </c>
      <c r="J194" s="73" t="n">
        <v>16.99</v>
      </c>
      <c r="K194" s="113" t="n">
        <v>1</v>
      </c>
    </row>
    <row r="195" ht="15" customHeight="1">
      <c r="A195" s="71" t="inlineStr">
        <is>
          <t>W5</t>
        </is>
      </c>
      <c r="B195" s="173" t="inlineStr">
        <is>
          <t>03/05</t>
        </is>
      </c>
      <c r="C195" s="174" t="inlineStr">
        <is>
          <t>兒童魚油軟糖</t>
        </is>
      </c>
      <c r="D195" s="71" t="inlineStr">
        <is>
          <t>B0G7SGXFC1</t>
        </is>
      </c>
      <c r="E195" s="71" t="inlineStr">
        <is>
          <t>B0G7K4CHWG</t>
        </is>
      </c>
      <c r="F195" s="70" t="inlineStr">
        <is>
          <t>SB_Kids Fish Oil Gummies_child fish oil chewable_B0G7K4CHWG_199</t>
        </is>
      </c>
      <c r="G195" s="73" t="n">
        <v>16.99</v>
      </c>
      <c r="H195" s="20" t="n">
        <v>1</v>
      </c>
      <c r="I195" s="20" t="n">
        <v>1</v>
      </c>
      <c r="J195" s="73" t="n">
        <v>16.99</v>
      </c>
      <c r="K195" s="113" t="n">
        <v>1</v>
      </c>
    </row>
    <row r="196" ht="15" customHeight="1">
      <c r="A196" s="71" t="inlineStr">
        <is>
          <t>W5</t>
        </is>
      </c>
      <c r="B196" s="173" t="inlineStr">
        <is>
          <t>03/05</t>
        </is>
      </c>
      <c r="C196" s="174" t="inlineStr">
        <is>
          <t>兒童魚油軟糖</t>
        </is>
      </c>
      <c r="D196" s="71" t="inlineStr">
        <is>
          <t>B0G7SGXFC1</t>
        </is>
      </c>
      <c r="E196" s="71" t="inlineStr">
        <is>
          <t>B0G7K1VC4G</t>
        </is>
      </c>
      <c r="F196" s="70" t="inlineStr">
        <is>
          <t>SB_Kids Fish Oil Gummies_children omega 3 no mercury_B0G7K4CHWG_188</t>
        </is>
      </c>
      <c r="G196" s="73" t="n">
        <v>31.99</v>
      </c>
      <c r="H196" s="20" t="n">
        <v>1</v>
      </c>
      <c r="I196" s="20" t="n">
        <v>1</v>
      </c>
      <c r="J196" s="73" t="n">
        <v>31.99</v>
      </c>
      <c r="K196" s="113" t="n">
        <v>1</v>
      </c>
    </row>
    <row r="197" ht="15" customHeight="1">
      <c r="A197" s="71" t="inlineStr">
        <is>
          <t>W5</t>
        </is>
      </c>
      <c r="B197" s="173" t="inlineStr">
        <is>
          <t>03/06</t>
        </is>
      </c>
      <c r="C197" s="174" t="inlineStr">
        <is>
          <t>納豆激酶</t>
        </is>
      </c>
      <c r="D197" s="71" t="inlineStr">
        <is>
          <t>B0DTV2XP8T</t>
        </is>
      </c>
      <c r="E197" s="71" t="inlineStr">
        <is>
          <t>B0DTYCNVQV</t>
        </is>
      </c>
      <c r="F197" s="70" t="inlineStr">
        <is>
          <t>SB_BROAD_premium grade nattokinase product_110725</t>
        </is>
      </c>
      <c r="G197" s="73" t="n">
        <v>26.59</v>
      </c>
      <c r="H197" s="20" t="n">
        <v>1</v>
      </c>
      <c r="I197" s="20" t="n">
        <v>1</v>
      </c>
      <c r="J197" s="73" t="n">
        <v>26.59</v>
      </c>
      <c r="K197" s="113" t="n">
        <v>1</v>
      </c>
    </row>
    <row r="198" ht="15" customHeight="1">
      <c r="A198" s="71" t="inlineStr">
        <is>
          <t>W5</t>
        </is>
      </c>
      <c r="B198" s="173" t="inlineStr">
        <is>
          <t>03/06</t>
        </is>
      </c>
      <c r="C198" s="174" t="inlineStr">
        <is>
          <t>納豆激酶</t>
        </is>
      </c>
      <c r="D198" s="71" t="inlineStr">
        <is>
          <t>B0DTV2XP8T</t>
        </is>
      </c>
      <c r="E198" s="71" t="inlineStr">
        <is>
          <t>B0DTYCNVQV</t>
        </is>
      </c>
      <c r="F198" s="70" t="inlineStr">
        <is>
          <t>SB_BROAD_bioactive enzyme form of nattokinase_110725</t>
        </is>
      </c>
      <c r="G198" s="73" t="n">
        <v>27.99</v>
      </c>
      <c r="H198" s="20" t="n">
        <v>1</v>
      </c>
      <c r="I198" s="20" t="n">
        <v>1</v>
      </c>
      <c r="J198" s="73" t="n">
        <v>27.99</v>
      </c>
      <c r="K198" s="113" t="n">
        <v>1</v>
      </c>
    </row>
    <row r="199" ht="15" customHeight="1">
      <c r="A199" s="71" t="inlineStr">
        <is>
          <t>W5</t>
        </is>
      </c>
      <c r="B199" s="173" t="inlineStr">
        <is>
          <t>03/06</t>
        </is>
      </c>
      <c r="C199" s="174" t="inlineStr">
        <is>
          <t>納豆激酶</t>
        </is>
      </c>
      <c r="D199" s="71" t="inlineStr">
        <is>
          <t>B0DTV2XP8T</t>
        </is>
      </c>
      <c r="E199" s="71" t="inlineStr">
        <is>
          <t>B0DTYCNVQV</t>
        </is>
      </c>
      <c r="F199" s="70" t="inlineStr">
        <is>
          <t>SB_BROAD_nattokinase vegan capsules_111025</t>
        </is>
      </c>
      <c r="G199" s="73" t="n">
        <v>27.99</v>
      </c>
      <c r="H199" s="20" t="n">
        <v>1</v>
      </c>
      <c r="I199" s="20" t="n">
        <v>1</v>
      </c>
      <c r="J199" s="73" t="n">
        <v>27.99</v>
      </c>
      <c r="K199" s="113" t="n">
        <v>1</v>
      </c>
    </row>
    <row r="200" ht="15" customHeight="1">
      <c r="A200" s="71" t="inlineStr">
        <is>
          <t>W5</t>
        </is>
      </c>
      <c r="B200" s="173" t="inlineStr">
        <is>
          <t>03/06</t>
        </is>
      </c>
      <c r="C200" s="174" t="inlineStr">
        <is>
          <t>納豆激酶</t>
        </is>
      </c>
      <c r="D200" s="71" t="inlineStr">
        <is>
          <t>B0DTV2XP8T</t>
        </is>
      </c>
      <c r="E200" s="71" t="inlineStr">
        <is>
          <t>B0DTYLYN6B</t>
        </is>
      </c>
      <c r="F200" s="70" t="inlineStr">
        <is>
          <t>SB_BROAD_daily supplement featuring nattokinase_110725</t>
        </is>
      </c>
      <c r="G200" s="73" t="n">
        <v>53.19</v>
      </c>
      <c r="H200" s="20" t="n">
        <v>1</v>
      </c>
      <c r="I200" s="20" t="n">
        <v>1</v>
      </c>
      <c r="J200" s="73" t="n">
        <v>53.19</v>
      </c>
      <c r="K200" s="113" t="n">
        <v>1</v>
      </c>
    </row>
    <row r="201" ht="15" customHeight="1">
      <c r="A201" s="71" t="inlineStr">
        <is>
          <t>W5</t>
        </is>
      </c>
      <c r="B201" s="173" t="inlineStr">
        <is>
          <t>03/07</t>
        </is>
      </c>
      <c r="C201" s="174" t="inlineStr">
        <is>
          <t>納豆激酶</t>
        </is>
      </c>
      <c r="D201" s="71" t="inlineStr">
        <is>
          <t>B0DTV2XP8T</t>
        </is>
      </c>
      <c r="E201" s="71" t="inlineStr">
        <is>
          <t>B0DTYLYN6B</t>
        </is>
      </c>
      <c r="F201" s="70" t="inlineStr">
        <is>
          <t>SB_BROAD_professional grade nattokinase_110525_1</t>
        </is>
      </c>
      <c r="G201" s="73" t="n">
        <v>53.19</v>
      </c>
      <c r="H201" s="20" t="n">
        <v>1</v>
      </c>
      <c r="I201" s="20" t="n">
        <v>1</v>
      </c>
      <c r="J201" s="73" t="n">
        <v>53.19</v>
      </c>
      <c r="K201" s="113" t="n">
        <v>1</v>
      </c>
    </row>
    <row r="202" ht="15" customHeight="1">
      <c r="A202" s="71" t="inlineStr">
        <is>
          <t>W5</t>
        </is>
      </c>
      <c r="B202" s="173" t="inlineStr">
        <is>
          <t>03/07</t>
        </is>
      </c>
      <c r="C202" s="174" t="inlineStr">
        <is>
          <t>納豆激酶</t>
        </is>
      </c>
      <c r="D202" s="71" t="inlineStr">
        <is>
          <t>B0DTV2XP8T</t>
        </is>
      </c>
      <c r="E202" s="71" t="inlineStr">
        <is>
          <t>B0DTYCNVQV</t>
        </is>
      </c>
      <c r="F202" s="70" t="inlineStr">
        <is>
          <t>SB_BROAD_professional grade nattokinase_110525_1</t>
        </is>
      </c>
      <c r="G202" s="73" t="n">
        <v>55.98</v>
      </c>
      <c r="H202" s="20" t="n">
        <v>2</v>
      </c>
      <c r="I202" s="20" t="n">
        <v>2</v>
      </c>
      <c r="J202" s="73" t="n">
        <v>55.98</v>
      </c>
      <c r="K202" s="113" t="n">
        <v>2</v>
      </c>
    </row>
    <row r="203" ht="15" customHeight="1">
      <c r="A203" s="71" t="inlineStr">
        <is>
          <t>W5</t>
        </is>
      </c>
      <c r="B203" s="173" t="inlineStr">
        <is>
          <t>03/07</t>
        </is>
      </c>
      <c r="C203" s="174" t="inlineStr">
        <is>
          <t>納豆激酶</t>
        </is>
      </c>
      <c r="D203" s="71" t="inlineStr">
        <is>
          <t>B0DTV2XP8T</t>
        </is>
      </c>
      <c r="E203" s="71" t="inlineStr">
        <is>
          <t>B0DTYLYN6B</t>
        </is>
      </c>
      <c r="F203" s="70" t="inlineStr">
        <is>
          <t>SB_BROAD_cardiovascular support supplement_110525_1</t>
        </is>
      </c>
      <c r="G203" s="73" t="n">
        <v>53.19</v>
      </c>
      <c r="H203" s="20" t="n">
        <v>1</v>
      </c>
      <c r="I203" s="20" t="n">
        <v>1</v>
      </c>
      <c r="J203" s="73" t="n">
        <v>53.19</v>
      </c>
      <c r="K203" s="113" t="n">
        <v>1</v>
      </c>
    </row>
    <row r="204" ht="15" customHeight="1">
      <c r="A204" s="71" t="inlineStr">
        <is>
          <t>W5</t>
        </is>
      </c>
      <c r="B204" s="173" t="inlineStr">
        <is>
          <t>03/07</t>
        </is>
      </c>
      <c r="C204" s="174" t="inlineStr">
        <is>
          <t>納豆激酶</t>
        </is>
      </c>
      <c r="D204" s="71" t="inlineStr">
        <is>
          <t>B0DTV2XP8T</t>
        </is>
      </c>
      <c r="E204" s="71" t="inlineStr">
        <is>
          <t>B0DTYCNVQV</t>
        </is>
      </c>
      <c r="F204" s="70" t="inlineStr">
        <is>
          <t>SB_BROAD_B0DTYCNVQV_AUDIENCE10_nattokinase tablets 120 count</t>
        </is>
      </c>
      <c r="G204" s="73" t="n">
        <v>27.99</v>
      </c>
      <c r="H204" s="20" t="n">
        <v>1</v>
      </c>
      <c r="I204" s="20" t="n">
        <v>1</v>
      </c>
      <c r="J204" s="73" t="n">
        <v>27.99</v>
      </c>
      <c r="K204" s="113" t="n">
        <v>1</v>
      </c>
    </row>
    <row r="205" ht="15" customHeight="1">
      <c r="A205" s="71" t="inlineStr">
        <is>
          <t>W5</t>
        </is>
      </c>
      <c r="B205" s="173" t="inlineStr">
        <is>
          <t>03/07</t>
        </is>
      </c>
      <c r="C205" s="174" t="inlineStr">
        <is>
          <t>納豆激酶</t>
        </is>
      </c>
      <c r="D205" s="71" t="inlineStr">
        <is>
          <t>B0DTV2XP8T</t>
        </is>
      </c>
      <c r="E205" s="71" t="inlineStr">
        <is>
          <t>B0DTYLYN6B</t>
        </is>
      </c>
      <c r="F205" s="70" t="inlineStr">
        <is>
          <t>SB_BROAD_wellness supplement containing nattokinase_110725</t>
        </is>
      </c>
      <c r="G205" s="73" t="n">
        <v>53.19</v>
      </c>
      <c r="H205" s="20" t="n">
        <v>1</v>
      </c>
      <c r="I205" s="20" t="n">
        <v>1</v>
      </c>
      <c r="J205" s="73" t="n">
        <v>53.19</v>
      </c>
      <c r="K205" s="113" t="n">
        <v>1</v>
      </c>
    </row>
    <row r="206" ht="20" customHeight="1">
      <c r="A206" s="37" t="inlineStr">
        <is>
          <t>5W GRAND TOTAL  (196 rows)</t>
        </is>
      </c>
      <c r="G206" s="175" t="n">
        <v>6350.539999999977</v>
      </c>
      <c r="H206" s="38" t="n">
        <v>213</v>
      </c>
      <c r="I206" s="38" t="n">
        <v>224</v>
      </c>
      <c r="J206" s="175" t="n">
        <v>5673.50999999998</v>
      </c>
      <c r="K206" s="39" t="n">
        <v>0.8933901683951286</v>
      </c>
    </row>
  </sheetData>
  <mergeCells count="12">
    <mergeCell ref="A88:K88"/>
    <mergeCell ref="A2:B2"/>
    <mergeCell ref="A50:K50"/>
    <mergeCell ref="C2:D2"/>
    <mergeCell ref="G2:H2"/>
    <mergeCell ref="E2:F2"/>
    <mergeCell ref="I2:J2"/>
    <mergeCell ref="A156:K156"/>
    <mergeCell ref="A206:F206"/>
    <mergeCell ref="A5:K5"/>
    <mergeCell ref="A1:K1"/>
    <mergeCell ref="A111:K11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16a34a"/>
    <outlinePr summaryBelow="1" summaryRight="1"/>
    <pageSetUpPr/>
  </sheetPr>
  <dimension ref="A1:K16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14" customWidth="1" min="3" max="3"/>
    <col width="12" customWidth="1" min="4" max="4"/>
    <col width="12" customWidth="1" min="5" max="5"/>
    <col width="9" customWidth="1" min="6" max="6"/>
    <col width="9" customWidth="1" min="7" max="7"/>
    <col width="11" customWidth="1" min="8" max="8"/>
    <col width="13" customWidth="1" min="9" max="9"/>
    <col width="30" customWidth="1" min="10" max="10"/>
    <col width="10" customWidth="1" min="11" max="11"/>
  </cols>
  <sheetData>
    <row r="1" ht="26" customHeight="1">
      <c r="A1" s="1" t="inlineStr">
        <is>
          <t>產品象限分析  |  Sales Median = $5,232  |  TACOS Target ≤70%  |  5W Total</t>
        </is>
      </c>
    </row>
    <row r="2" ht="6" customHeight="1"/>
    <row r="3" ht="20" customHeight="1">
      <c r="A3" s="176" t="inlineStr">
        <is>
          <t>⭐ Star  (2 個產品)</t>
        </is>
      </c>
      <c r="C3" s="177" t="inlineStr">
        <is>
          <t>⚠️ Question  (2 個產品)</t>
        </is>
      </c>
      <c r="E3" s="178" t="inlineStr">
        <is>
          <t>🔴 Cut  (2 個產品)</t>
        </is>
      </c>
      <c r="G3" s="179" t="inlineStr">
        <is>
          <t>💤 Potential  (1 個產品)</t>
        </is>
      </c>
    </row>
    <row r="4" ht="6" customHeight="1"/>
    <row r="5" ht="18" customHeight="1">
      <c r="A5" s="41" t="inlineStr">
        <is>
          <t>象限</t>
        </is>
      </c>
      <c r="B5" s="41" t="inlineStr">
        <is>
          <t>產品名稱</t>
        </is>
      </c>
      <c r="C5" s="41" t="inlineStr">
        <is>
          <t>Parent ASIN</t>
        </is>
      </c>
      <c r="D5" s="41" t="inlineStr">
        <is>
          <t>5W Sales ($)</t>
        </is>
      </c>
      <c r="E5" s="41" t="inlineStr">
        <is>
          <t>5W Spend ($)</t>
        </is>
      </c>
      <c r="F5" s="41" t="inlineStr">
        <is>
          <t>5W TACOS</t>
        </is>
      </c>
      <c r="G5" s="41" t="inlineStr">
        <is>
          <t>Sales Rank</t>
        </is>
      </c>
      <c r="H5" s="41" t="inlineStr">
        <is>
          <t>vs Median</t>
        </is>
      </c>
      <c r="I5" s="41" t="inlineStr">
        <is>
          <t>SB Attr Sales</t>
        </is>
      </c>
      <c r="J5" s="41" t="inlineStr">
        <is>
          <t>建議動作方向</t>
        </is>
      </c>
      <c r="K5" s="41" t="inlineStr">
        <is>
          <t>優先級</t>
        </is>
      </c>
    </row>
    <row r="6" ht="16" customHeight="1">
      <c r="A6" s="180" t="inlineStr">
        <is>
          <t xml:space="preserve">  ⭐ Star  ·  高銷售 · 低 TACOS  (2 個產品)</t>
        </is>
      </c>
    </row>
    <row r="7" ht="16" customHeight="1">
      <c r="A7" s="181" t="inlineStr">
        <is>
          <t>⭐ Star</t>
        </is>
      </c>
      <c r="B7" s="182" t="inlineStr">
        <is>
          <t>納豆激酶</t>
        </is>
      </c>
      <c r="C7" s="183" t="inlineStr">
        <is>
          <t>B0DTV2XP8T</t>
        </is>
      </c>
      <c r="D7" s="184" t="n">
        <v>10302.81</v>
      </c>
      <c r="E7" s="184" t="n">
        <v>2852.93</v>
      </c>
      <c r="F7" s="185" t="n">
        <v>0.277</v>
      </c>
      <c r="G7" s="186" t="n">
        <v>1</v>
      </c>
      <c r="H7" s="187" t="n">
        <v>0.9691614042598736</v>
      </c>
      <c r="I7" s="188" t="n">
        <v>3159.2</v>
      </c>
      <c r="J7" s="189" t="inlineStr">
        <is>
          <t>擴大預算 · 複製 SP · 加 SB</t>
        </is>
      </c>
      <c r="K7" s="190" t="inlineStr">
        <is>
          <t>本週執行</t>
        </is>
      </c>
    </row>
    <row r="8" ht="16" customHeight="1">
      <c r="A8" s="181" t="inlineStr">
        <is>
          <t>⭐ Star</t>
        </is>
      </c>
      <c r="B8" s="182" t="inlineStr">
        <is>
          <t>成人頂級魚油</t>
        </is>
      </c>
      <c r="C8" s="183" t="inlineStr">
        <is>
          <t>B0DYHLCY51</t>
        </is>
      </c>
      <c r="D8" s="184" t="n">
        <v>5232.08</v>
      </c>
      <c r="E8" s="184" t="n">
        <v>2632.05</v>
      </c>
      <c r="F8" s="185" t="n">
        <v>0.503</v>
      </c>
      <c r="G8" s="186" t="n">
        <v>2</v>
      </c>
      <c r="H8" s="187" t="n">
        <v>0</v>
      </c>
      <c r="I8" s="188" t="n">
        <v>521.33</v>
      </c>
      <c r="J8" s="189" t="inlineStr">
        <is>
          <t>擴大預算 · 複製 SP · 加 SB</t>
        </is>
      </c>
      <c r="K8" s="190" t="inlineStr">
        <is>
          <t>本週執行</t>
        </is>
      </c>
    </row>
    <row r="9" ht="16" customHeight="1">
      <c r="A9" s="191" t="inlineStr">
        <is>
          <t xml:space="preserve">  ⚠️ Question  ·  高銷售 · 高 TACOS  (2 個產品)</t>
        </is>
      </c>
    </row>
    <row r="10" ht="16" customHeight="1">
      <c r="A10" s="192" t="inlineStr">
        <is>
          <t>⚠️ Question</t>
        </is>
      </c>
      <c r="B10" s="193" t="inlineStr">
        <is>
          <t>兒童魚油軟糖</t>
        </is>
      </c>
      <c r="C10" s="194" t="inlineStr">
        <is>
          <t>B0G7SGXFC1</t>
        </is>
      </c>
      <c r="D10" s="195" t="n">
        <v>8312.17</v>
      </c>
      <c r="E10" s="195" t="n">
        <v>10308.02</v>
      </c>
      <c r="F10" s="196" t="n">
        <v>1.24</v>
      </c>
      <c r="G10" s="197" t="n">
        <v>1</v>
      </c>
      <c r="H10" s="198" t="n">
        <v>0.5886932157000658</v>
      </c>
      <c r="I10" s="199" t="n">
        <v>1562.22</v>
      </c>
      <c r="J10" s="200" t="inlineStr">
        <is>
          <t>降 CPC · 暫停高 ACOS KW</t>
        </is>
      </c>
      <c r="K10" s="201" t="inlineStr">
        <is>
          <t>本週執行</t>
        </is>
      </c>
    </row>
    <row r="11" ht="16" customHeight="1">
      <c r="A11" s="192" t="inlineStr">
        <is>
          <t>⚠️ Question</t>
        </is>
      </c>
      <c r="B11" s="193" t="inlineStr">
        <is>
          <t>瑪卡粉</t>
        </is>
      </c>
      <c r="C11" s="194" t="inlineStr">
        <is>
          <t>B09Y8VBQTV</t>
        </is>
      </c>
      <c r="D11" s="195" t="n">
        <v>7087.17</v>
      </c>
      <c r="E11" s="195" t="n">
        <v>4994.63</v>
      </c>
      <c r="F11" s="202" t="n">
        <v>0.705</v>
      </c>
      <c r="G11" s="197" t="n">
        <v>2</v>
      </c>
      <c r="H11" s="198" t="n">
        <v>0.3545607100808856</v>
      </c>
      <c r="I11" s="199" t="n">
        <v>350.85</v>
      </c>
      <c r="J11" s="200" t="inlineStr">
        <is>
          <t>降 CPC · 暫停高 ACOS KW</t>
        </is>
      </c>
      <c r="K11" s="201" t="inlineStr">
        <is>
          <t>本週執行</t>
        </is>
      </c>
    </row>
    <row r="12" ht="16" customHeight="1">
      <c r="A12" s="203" t="inlineStr">
        <is>
          <t xml:space="preserve">  🔴 Cut  ·  低銷售 · 高 TACOS  (2 個產品)</t>
        </is>
      </c>
    </row>
    <row r="13" ht="16" customHeight="1">
      <c r="A13" s="204" t="inlineStr">
        <is>
          <t>🔴 Cut</t>
        </is>
      </c>
      <c r="B13" s="205" t="inlineStr">
        <is>
          <t>苦瓜酵素</t>
        </is>
      </c>
      <c r="C13" s="206" t="inlineStr">
        <is>
          <t>B0FF4WBTWX</t>
        </is>
      </c>
      <c r="D13" s="207" t="n">
        <v>4640.63</v>
      </c>
      <c r="E13" s="207" t="n">
        <v>3480.14</v>
      </c>
      <c r="F13" s="208" t="n">
        <v>0.75</v>
      </c>
      <c r="G13" s="209" t="n">
        <v>1</v>
      </c>
      <c r="H13" s="210" t="n">
        <v>-0.1130429962844604</v>
      </c>
      <c r="I13" s="211" t="n">
        <v>548.8099999999999</v>
      </c>
      <c r="J13" s="212" t="inlineStr">
        <is>
          <t>降價 · Coupon · 降 Bid</t>
        </is>
      </c>
      <c r="K13" s="213" t="inlineStr">
        <is>
          <t>本週執行</t>
        </is>
      </c>
    </row>
    <row r="14" ht="16" customHeight="1">
      <c r="A14" s="204" t="inlineStr">
        <is>
          <t>🔴 Cut</t>
        </is>
      </c>
      <c r="B14" s="205" t="inlineStr">
        <is>
          <t>葉黃素</t>
        </is>
      </c>
      <c r="C14" s="206" t="inlineStr">
        <is>
          <t>B0FKBLZB11</t>
        </is>
      </c>
      <c r="D14" s="207" t="n">
        <v>968.6799999999999</v>
      </c>
      <c r="E14" s="207" t="n">
        <v>974.62</v>
      </c>
      <c r="F14" s="214" t="n">
        <v>1.006</v>
      </c>
      <c r="G14" s="209" t="n">
        <v>2</v>
      </c>
      <c r="H14" s="210" t="n">
        <v>-0.8148575709851531</v>
      </c>
      <c r="I14" s="211" t="n">
        <v>208.13</v>
      </c>
      <c r="J14" s="212" t="inlineStr">
        <is>
          <t>降價 · Coupon · 降 Bid</t>
        </is>
      </c>
      <c r="K14" s="213" t="inlineStr">
        <is>
          <t>本週執行</t>
        </is>
      </c>
    </row>
    <row r="15" ht="16" customHeight="1">
      <c r="A15" s="215" t="inlineStr">
        <is>
          <t xml:space="preserve">  💤 Potential  ·  低銷售 · 低 TACOS  (1 個產品)</t>
        </is>
      </c>
    </row>
    <row r="16" ht="16" customHeight="1">
      <c r="A16" s="216" t="inlineStr">
        <is>
          <t>💤 Potential</t>
        </is>
      </c>
      <c r="B16" s="217" t="inlineStr">
        <is>
          <t>綜合維生素</t>
        </is>
      </c>
      <c r="C16" s="218" t="inlineStr">
        <is>
          <t>B0DY7H26GN</t>
        </is>
      </c>
      <c r="D16" s="219" t="n">
        <v>284.34</v>
      </c>
      <c r="E16" s="219" t="n">
        <v>176.24</v>
      </c>
      <c r="F16" s="220" t="n">
        <v>0.62</v>
      </c>
      <c r="G16" s="221" t="n">
        <v>1</v>
      </c>
      <c r="H16" s="222" t="n">
        <v>-0.945654500695708</v>
      </c>
      <c r="I16" s="223" t="n">
        <v>0</v>
      </c>
      <c r="J16" s="224" t="inlineStr">
        <is>
          <t>新建 SP/SB/SD · AMC Lookalike</t>
        </is>
      </c>
      <c r="K16" s="225" t="inlineStr">
        <is>
          <t>下週執行</t>
        </is>
      </c>
    </row>
  </sheetData>
  <mergeCells count="9">
    <mergeCell ref="A6:K6"/>
    <mergeCell ref="A12:K12"/>
    <mergeCell ref="A9:K9"/>
    <mergeCell ref="A15:K15"/>
    <mergeCell ref="A1:K1"/>
    <mergeCell ref="C3:D3"/>
    <mergeCell ref="A3:B3"/>
    <mergeCell ref="G3:H3"/>
    <mergeCell ref="E3:F3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7c3aed"/>
    <outlinePr summaryBelow="1" summaryRight="1"/>
    <pageSetUpPr/>
  </sheetPr>
  <dimension ref="A1:H43"/>
  <sheetViews>
    <sheetView showGridLines="0" workbookViewId="0">
      <selection activeCell="A1" sqref="A1"/>
    </sheetView>
  </sheetViews>
  <sheetFormatPr baseColWidth="8" defaultRowHeight="15"/>
  <cols>
    <col width="5" customWidth="1" min="1" max="1"/>
    <col width="16" customWidth="1" min="2" max="2"/>
    <col width="12" customWidth="1" min="3" max="3"/>
    <col width="10" customWidth="1" min="4" max="4"/>
    <col width="9" customWidth="1" min="5" max="5"/>
    <col width="52" customWidth="1" min="6" max="6"/>
    <col width="12" customWidth="1" min="7" max="7"/>
    <col width="9" customWidth="1" min="8" max="8"/>
  </cols>
  <sheetData>
    <row r="1" ht="26" customHeight="1">
      <c r="A1" s="1" t="inlineStr">
        <is>
          <t>行動方案清單  |  DAIKEN US  |  W5 Mar 1–7  |  共 7 個產品</t>
        </is>
      </c>
    </row>
    <row r="2" ht="6" customHeight="1"/>
    <row r="3" ht="20" customHeight="1">
      <c r="A3" s="41" t="inlineStr">
        <is>
          <t>完成?</t>
        </is>
      </c>
      <c r="B3" s="41" t="inlineStr">
        <is>
          <t>產品名稱</t>
        </is>
      </c>
      <c r="C3" s="41" t="inlineStr">
        <is>
          <t>象限</t>
        </is>
      </c>
      <c r="D3" s="41" t="inlineStr">
        <is>
          <t>優先級</t>
        </is>
      </c>
      <c r="E3" s="41" t="inlineStr">
        <is>
          <t>類型</t>
        </is>
      </c>
      <c r="F3" s="41" t="inlineStr">
        <is>
          <t>具體行動</t>
        </is>
      </c>
      <c r="G3" s="41" t="inlineStr">
        <is>
          <t>5W Sales</t>
        </is>
      </c>
      <c r="H3" s="41" t="inlineStr">
        <is>
          <t>TACOS</t>
        </is>
      </c>
    </row>
    <row r="4" ht="15" customHeight="1">
      <c r="A4" s="180" t="inlineStr">
        <is>
          <t xml:space="preserve">  ⭐ Star  —  高銷售 · 低 TACOS</t>
        </is>
      </c>
    </row>
    <row r="5" ht="28" customHeight="1">
      <c r="A5" s="226" t="inlineStr"/>
      <c r="B5" s="182" t="inlineStr">
        <is>
          <t>納豆激酶</t>
        </is>
      </c>
      <c r="C5" s="181" t="inlineStr">
        <is>
          <t>⭐ Star</t>
        </is>
      </c>
      <c r="D5" s="190" t="inlineStr">
        <is>
          <t>本週執行</t>
        </is>
      </c>
      <c r="E5" s="183" t="inlineStr">
        <is>
          <t>SP Bulk</t>
        </is>
      </c>
      <c r="F5" s="227" t="inlineStr">
        <is>
          <t>下載現有 SP 活動 Bulk File → 複製所有 Enabled campaigns → 新命名加 _COPY 後綴</t>
        </is>
      </c>
      <c r="G5" s="184" t="n">
        <v>10302.81</v>
      </c>
      <c r="H5" s="185" t="n">
        <v>0.277</v>
      </c>
    </row>
    <row r="6" ht="28" customHeight="1">
      <c r="A6" s="226" t="inlineStr"/>
      <c r="B6" s="228" t="n"/>
      <c r="C6" s="228" t="n"/>
      <c r="D6" s="228" t="n"/>
      <c r="E6" s="183" t="inlineStr">
        <is>
          <t>Budget</t>
        </is>
      </c>
      <c r="F6" s="227" t="inlineStr">
        <is>
          <t>全部 SP 活動預算 × 1.3（+30%）→ 上傳 Bulk File → 確認無錯誤</t>
        </is>
      </c>
      <c r="G6" s="228" t="n"/>
      <c r="H6" s="228" t="n"/>
    </row>
    <row r="7" ht="28" customHeight="1">
      <c r="A7" s="226" t="inlineStr"/>
      <c r="B7" s="228" t="n"/>
      <c r="C7" s="228" t="n"/>
      <c r="D7" s="228" t="n"/>
      <c r="E7" s="183" t="inlineStr">
        <is>
          <t>SB</t>
        </is>
      </c>
      <c r="F7" s="227" t="inlineStr">
        <is>
          <t>確認是否有 SB Banner 廣告，若無則新建 SB Campaign 指向此產品</t>
        </is>
      </c>
      <c r="G7" s="228" t="n"/>
      <c r="H7" s="228" t="n"/>
    </row>
    <row r="8" ht="28" customHeight="1">
      <c r="A8" s="226" t="inlineStr"/>
      <c r="B8" s="228" t="n"/>
      <c r="C8" s="228" t="n"/>
      <c r="D8" s="228" t="n"/>
      <c r="E8" s="183" t="inlineStr">
        <is>
          <t>SD</t>
        </is>
      </c>
      <c r="F8" s="227" t="inlineStr">
        <is>
          <t>建立 SD Retargeting 活動 targeting 已瀏覽 ASIN 的受眾</t>
        </is>
      </c>
      <c r="G8" s="228" t="n"/>
      <c r="H8" s="228" t="n"/>
    </row>
    <row r="9" ht="4" customHeight="1">
      <c r="A9" s="229" t="n"/>
      <c r="B9" s="229" t="n"/>
      <c r="C9" s="229" t="n"/>
      <c r="D9" s="229" t="n"/>
      <c r="E9" s="229" t="n"/>
      <c r="F9" s="229" t="n"/>
      <c r="G9" s="229" t="n"/>
      <c r="H9" s="229" t="n"/>
    </row>
    <row r="10" ht="28" customHeight="1">
      <c r="A10" s="226" t="inlineStr"/>
      <c r="B10" s="182" t="inlineStr">
        <is>
          <t>成人頂級魚油</t>
        </is>
      </c>
      <c r="C10" s="181" t="inlineStr">
        <is>
          <t>⭐ Star</t>
        </is>
      </c>
      <c r="D10" s="190" t="inlineStr">
        <is>
          <t>本週執行</t>
        </is>
      </c>
      <c r="E10" s="183" t="inlineStr">
        <is>
          <t>SP Bulk</t>
        </is>
      </c>
      <c r="F10" s="227" t="inlineStr">
        <is>
          <t>下載現有 SP 活動 Bulk File → 複製所有 Enabled campaigns → 新命名加 _COPY 後綴</t>
        </is>
      </c>
      <c r="G10" s="184" t="n">
        <v>5232.08</v>
      </c>
      <c r="H10" s="185" t="n">
        <v>0.503</v>
      </c>
    </row>
    <row r="11" ht="28" customHeight="1">
      <c r="A11" s="226" t="inlineStr"/>
      <c r="B11" s="228" t="n"/>
      <c r="C11" s="228" t="n"/>
      <c r="D11" s="228" t="n"/>
      <c r="E11" s="183" t="inlineStr">
        <is>
          <t>Budget</t>
        </is>
      </c>
      <c r="F11" s="227" t="inlineStr">
        <is>
          <t>全部 SP 活動預算 × 1.3（+30%）→ 上傳 Bulk File → 確認無錯誤</t>
        </is>
      </c>
      <c r="G11" s="228" t="n"/>
      <c r="H11" s="228" t="n"/>
    </row>
    <row r="12" ht="28" customHeight="1">
      <c r="A12" s="226" t="inlineStr"/>
      <c r="B12" s="228" t="n"/>
      <c r="C12" s="228" t="n"/>
      <c r="D12" s="228" t="n"/>
      <c r="E12" s="183" t="inlineStr">
        <is>
          <t>SB</t>
        </is>
      </c>
      <c r="F12" s="227" t="inlineStr">
        <is>
          <t>確認是否有 SB Banner 廣告，若無則新建 SB Campaign 指向此產品</t>
        </is>
      </c>
      <c r="G12" s="228" t="n"/>
      <c r="H12" s="228" t="n"/>
    </row>
    <row r="13" ht="28" customHeight="1">
      <c r="A13" s="226" t="inlineStr"/>
      <c r="B13" s="228" t="n"/>
      <c r="C13" s="228" t="n"/>
      <c r="D13" s="228" t="n"/>
      <c r="E13" s="183" t="inlineStr">
        <is>
          <t>SD</t>
        </is>
      </c>
      <c r="F13" s="227" t="inlineStr">
        <is>
          <t>建立 SD Retargeting 活動 targeting 已瀏覽 ASIN 的受眾</t>
        </is>
      </c>
      <c r="G13" s="228" t="n"/>
      <c r="H13" s="228" t="n"/>
    </row>
    <row r="14" ht="4" customHeight="1">
      <c r="A14" s="229" t="n"/>
      <c r="B14" s="229" t="n"/>
      <c r="C14" s="229" t="n"/>
      <c r="D14" s="229" t="n"/>
      <c r="E14" s="229" t="n"/>
      <c r="F14" s="229" t="n"/>
      <c r="G14" s="229" t="n"/>
      <c r="H14" s="229" t="n"/>
    </row>
    <row r="15" ht="15" customHeight="1">
      <c r="A15" s="191" t="inlineStr">
        <is>
          <t xml:space="preserve">  ⚠️ Question  —  高銷售 · 高 TACOS</t>
        </is>
      </c>
    </row>
    <row r="16" ht="28" customHeight="1">
      <c r="A16" s="230" t="inlineStr"/>
      <c r="B16" s="193" t="inlineStr">
        <is>
          <t>兒童魚油軟糖</t>
        </is>
      </c>
      <c r="C16" s="192" t="inlineStr">
        <is>
          <t>⚠️ Question</t>
        </is>
      </c>
      <c r="D16" s="201" t="inlineStr">
        <is>
          <t>本週執行</t>
        </is>
      </c>
      <c r="E16" s="194" t="inlineStr">
        <is>
          <t>CPC</t>
        </is>
      </c>
      <c r="F16" s="231" t="inlineStr">
        <is>
          <t>下載 SP Bulk File → 找出 ACOS ≥85% 的關鍵字 → Bid × 0.8（降 20%）</t>
        </is>
      </c>
      <c r="G16" s="195" t="n">
        <v>8312.17</v>
      </c>
      <c r="H16" s="196" t="n">
        <v>1.24</v>
      </c>
    </row>
    <row r="17" ht="28" customHeight="1">
      <c r="A17" s="230" t="inlineStr"/>
      <c r="B17" s="232" t="n"/>
      <c r="C17" s="232" t="n"/>
      <c r="D17" s="232" t="n"/>
      <c r="E17" s="194" t="inlineStr">
        <is>
          <t>Pause KW</t>
        </is>
      </c>
      <c r="F17" s="231" t="inlineStr">
        <is>
          <t>TACOS ≥85% 且過去 14 天無轉換的關鍵字 → 狀態改為 Paused</t>
        </is>
      </c>
      <c r="G17" s="232" t="n"/>
      <c r="H17" s="232" t="n"/>
    </row>
    <row r="18" ht="28" customHeight="1">
      <c r="A18" s="230" t="inlineStr"/>
      <c r="B18" s="232" t="n"/>
      <c r="C18" s="232" t="n"/>
      <c r="D18" s="232" t="n"/>
      <c r="E18" s="194" t="inlineStr">
        <is>
          <t>Budget</t>
        </is>
      </c>
      <c r="F18" s="231" t="inlineStr">
        <is>
          <t>SP 活動預算維持不變，待 TACOS 下降再考慮增加</t>
        </is>
      </c>
      <c r="G18" s="232" t="n"/>
      <c r="H18" s="232" t="n"/>
    </row>
    <row r="19" ht="28" customHeight="1">
      <c r="A19" s="230" t="inlineStr"/>
      <c r="B19" s="232" t="n"/>
      <c r="C19" s="232" t="n"/>
      <c r="D19" s="232" t="n"/>
      <c r="E19" s="194" t="inlineStr">
        <is>
          <t>Review</t>
        </is>
      </c>
      <c r="F19" s="231" t="inlineStr">
        <is>
          <t>檢查競品 listing 定價，評估是否需要調整售價提高轉換率</t>
        </is>
      </c>
      <c r="G19" s="232" t="n"/>
      <c r="H19" s="232" t="n"/>
    </row>
    <row r="20" ht="4" customHeight="1">
      <c r="A20" s="229" t="n"/>
      <c r="B20" s="229" t="n"/>
      <c r="C20" s="229" t="n"/>
      <c r="D20" s="229" t="n"/>
      <c r="E20" s="229" t="n"/>
      <c r="F20" s="229" t="n"/>
      <c r="G20" s="229" t="n"/>
      <c r="H20" s="229" t="n"/>
    </row>
    <row r="21" ht="28" customHeight="1">
      <c r="A21" s="230" t="inlineStr"/>
      <c r="B21" s="193" t="inlineStr">
        <is>
          <t>瑪卡粉</t>
        </is>
      </c>
      <c r="C21" s="192" t="inlineStr">
        <is>
          <t>⚠️ Question</t>
        </is>
      </c>
      <c r="D21" s="201" t="inlineStr">
        <is>
          <t>本週執行</t>
        </is>
      </c>
      <c r="E21" s="194" t="inlineStr">
        <is>
          <t>CPC</t>
        </is>
      </c>
      <c r="F21" s="231" t="inlineStr">
        <is>
          <t>下載 SP Bulk File → 找出 ACOS ≥85% 的關鍵字 → Bid × 0.8（降 20%）</t>
        </is>
      </c>
      <c r="G21" s="195" t="n">
        <v>7087.17</v>
      </c>
      <c r="H21" s="202" t="n">
        <v>0.705</v>
      </c>
    </row>
    <row r="22" ht="28" customHeight="1">
      <c r="A22" s="230" t="inlineStr"/>
      <c r="B22" s="232" t="n"/>
      <c r="C22" s="232" t="n"/>
      <c r="D22" s="232" t="n"/>
      <c r="E22" s="194" t="inlineStr">
        <is>
          <t>Pause KW</t>
        </is>
      </c>
      <c r="F22" s="231" t="inlineStr">
        <is>
          <t>TACOS ≥85% 且過去 14 天無轉換的關鍵字 → 狀態改為 Paused</t>
        </is>
      </c>
      <c r="G22" s="232" t="n"/>
      <c r="H22" s="232" t="n"/>
    </row>
    <row r="23" ht="28" customHeight="1">
      <c r="A23" s="230" t="inlineStr"/>
      <c r="B23" s="232" t="n"/>
      <c r="C23" s="232" t="n"/>
      <c r="D23" s="232" t="n"/>
      <c r="E23" s="194" t="inlineStr">
        <is>
          <t>Budget</t>
        </is>
      </c>
      <c r="F23" s="231" t="inlineStr">
        <is>
          <t>SP 活動預算維持不變，待 TACOS 下降再考慮增加</t>
        </is>
      </c>
      <c r="G23" s="232" t="n"/>
      <c r="H23" s="232" t="n"/>
    </row>
    <row r="24" ht="28" customHeight="1">
      <c r="A24" s="230" t="inlineStr"/>
      <c r="B24" s="232" t="n"/>
      <c r="C24" s="232" t="n"/>
      <c r="D24" s="232" t="n"/>
      <c r="E24" s="194" t="inlineStr">
        <is>
          <t>Review</t>
        </is>
      </c>
      <c r="F24" s="231" t="inlineStr">
        <is>
          <t>檢查競品 listing 定價，評估是否需要調整售價提高轉換率</t>
        </is>
      </c>
      <c r="G24" s="232" t="n"/>
      <c r="H24" s="232" t="n"/>
    </row>
    <row r="25" ht="4" customHeight="1">
      <c r="A25" s="229" t="n"/>
      <c r="B25" s="229" t="n"/>
      <c r="C25" s="229" t="n"/>
      <c r="D25" s="229" t="n"/>
      <c r="E25" s="229" t="n"/>
      <c r="F25" s="229" t="n"/>
      <c r="G25" s="229" t="n"/>
      <c r="H25" s="229" t="n"/>
    </row>
    <row r="26" ht="15" customHeight="1">
      <c r="A26" s="203" t="inlineStr">
        <is>
          <t xml:space="preserve">  🔴 Cut  —  低銷售 · 高 TACOS</t>
        </is>
      </c>
    </row>
    <row r="27" ht="28" customHeight="1">
      <c r="A27" s="233" t="inlineStr"/>
      <c r="B27" s="205" t="inlineStr">
        <is>
          <t>苦瓜酵素</t>
        </is>
      </c>
      <c r="C27" s="204" t="inlineStr">
        <is>
          <t>🔴 Cut</t>
        </is>
      </c>
      <c r="D27" s="213" t="inlineStr">
        <is>
          <t>本週執行</t>
        </is>
      </c>
      <c r="E27" s="206" t="inlineStr">
        <is>
          <t>Price</t>
        </is>
      </c>
      <c r="F27" s="234" t="inlineStr">
        <is>
          <t>在 Seller Central 將售價下調 $0.50，觀察轉換率變化</t>
        </is>
      </c>
      <c r="G27" s="207" t="n">
        <v>4640.63</v>
      </c>
      <c r="H27" s="208" t="n">
        <v>0.75</v>
      </c>
    </row>
    <row r="28" ht="28" customHeight="1">
      <c r="A28" s="233" t="inlineStr"/>
      <c r="B28" s="235" t="n"/>
      <c r="C28" s="235" t="n"/>
      <c r="D28" s="235" t="n"/>
      <c r="E28" s="206" t="inlineStr">
        <is>
          <t>Coupon</t>
        </is>
      </c>
      <c r="F28" s="234" t="inlineStr">
        <is>
          <t>建立 Coupon 折扣（建議 5–10%）→ 提升搜尋結果曝光</t>
        </is>
      </c>
      <c r="G28" s="235" t="n"/>
      <c r="H28" s="235" t="n"/>
    </row>
    <row r="29" ht="28" customHeight="1">
      <c r="A29" s="233" t="inlineStr"/>
      <c r="B29" s="235" t="n"/>
      <c r="C29" s="235" t="n"/>
      <c r="D29" s="235" t="n"/>
      <c r="E29" s="206" t="inlineStr">
        <is>
          <t>Deal</t>
        </is>
      </c>
      <c r="F29" s="234" t="inlineStr">
        <is>
          <t>申請 Prime Exclusive Discount 或 Lightning Deal（需提前 2 週申請）</t>
        </is>
      </c>
      <c r="G29" s="235" t="n"/>
      <c r="H29" s="235" t="n"/>
    </row>
    <row r="30" ht="28" customHeight="1">
      <c r="A30" s="233" t="inlineStr"/>
      <c r="B30" s="235" t="n"/>
      <c r="C30" s="235" t="n"/>
      <c r="D30" s="235" t="n"/>
      <c r="E30" s="206" t="inlineStr">
        <is>
          <t>SP Bid</t>
        </is>
      </c>
      <c r="F30" s="234" t="inlineStr">
        <is>
          <t>下載 SP Bulk File → 全部 Keyword Bid 降至 $2.00 上限</t>
        </is>
      </c>
      <c r="G30" s="235" t="n"/>
      <c r="H30" s="235" t="n"/>
    </row>
    <row r="31" ht="4" customHeight="1">
      <c r="A31" s="229" t="n"/>
      <c r="B31" s="229" t="n"/>
      <c r="C31" s="229" t="n"/>
      <c r="D31" s="229" t="n"/>
      <c r="E31" s="229" t="n"/>
      <c r="F31" s="229" t="n"/>
      <c r="G31" s="229" t="n"/>
      <c r="H31" s="229" t="n"/>
    </row>
    <row r="32" ht="28" customHeight="1">
      <c r="A32" s="233" t="inlineStr"/>
      <c r="B32" s="205" t="inlineStr">
        <is>
          <t>葉黃素</t>
        </is>
      </c>
      <c r="C32" s="204" t="inlineStr">
        <is>
          <t>🔴 Cut</t>
        </is>
      </c>
      <c r="D32" s="213" t="inlineStr">
        <is>
          <t>本週執行</t>
        </is>
      </c>
      <c r="E32" s="206" t="inlineStr">
        <is>
          <t>Price</t>
        </is>
      </c>
      <c r="F32" s="234" t="inlineStr">
        <is>
          <t>在 Seller Central 將售價下調 $0.50，觀察轉換率變化</t>
        </is>
      </c>
      <c r="G32" s="207" t="n">
        <v>968.6799999999999</v>
      </c>
      <c r="H32" s="214" t="n">
        <v>1.006</v>
      </c>
    </row>
    <row r="33" ht="28" customHeight="1">
      <c r="A33" s="233" t="inlineStr"/>
      <c r="B33" s="235" t="n"/>
      <c r="C33" s="235" t="n"/>
      <c r="D33" s="235" t="n"/>
      <c r="E33" s="206" t="inlineStr">
        <is>
          <t>Coupon</t>
        </is>
      </c>
      <c r="F33" s="234" t="inlineStr">
        <is>
          <t>建立 Coupon 折扣（建議 5–10%）→ 提升搜尋結果曝光</t>
        </is>
      </c>
      <c r="G33" s="235" t="n"/>
      <c r="H33" s="235" t="n"/>
    </row>
    <row r="34" ht="28" customHeight="1">
      <c r="A34" s="233" t="inlineStr"/>
      <c r="B34" s="235" t="n"/>
      <c r="C34" s="235" t="n"/>
      <c r="D34" s="235" t="n"/>
      <c r="E34" s="206" t="inlineStr">
        <is>
          <t>Deal</t>
        </is>
      </c>
      <c r="F34" s="234" t="inlineStr">
        <is>
          <t>申請 Prime Exclusive Discount 或 Lightning Deal（需提前 2 週申請）</t>
        </is>
      </c>
      <c r="G34" s="235" t="n"/>
      <c r="H34" s="235" t="n"/>
    </row>
    <row r="35" ht="28" customHeight="1">
      <c r="A35" s="233" t="inlineStr"/>
      <c r="B35" s="235" t="n"/>
      <c r="C35" s="235" t="n"/>
      <c r="D35" s="235" t="n"/>
      <c r="E35" s="206" t="inlineStr">
        <is>
          <t>SP Bid</t>
        </is>
      </c>
      <c r="F35" s="234" t="inlineStr">
        <is>
          <t>下載 SP Bulk File → 全部 Keyword Bid 降至 $2.00 上限</t>
        </is>
      </c>
      <c r="G35" s="235" t="n"/>
      <c r="H35" s="235" t="n"/>
    </row>
    <row r="36" ht="4" customHeight="1">
      <c r="A36" s="229" t="n"/>
      <c r="B36" s="229" t="n"/>
      <c r="C36" s="229" t="n"/>
      <c r="D36" s="229" t="n"/>
      <c r="E36" s="229" t="n"/>
      <c r="F36" s="229" t="n"/>
      <c r="G36" s="229" t="n"/>
      <c r="H36" s="229" t="n"/>
    </row>
    <row r="37" ht="15" customHeight="1">
      <c r="A37" s="215" t="inlineStr">
        <is>
          <t xml:space="preserve">  💤 Potential  —  低銷售 · 低 TACOS</t>
        </is>
      </c>
    </row>
    <row r="38" ht="28" customHeight="1">
      <c r="A38" s="236" t="inlineStr"/>
      <c r="B38" s="217" t="inlineStr">
        <is>
          <t>綜合維生素</t>
        </is>
      </c>
      <c r="C38" s="216" t="inlineStr">
        <is>
          <t>💤 Potential</t>
        </is>
      </c>
      <c r="D38" s="225" t="inlineStr">
        <is>
          <t>下週執行</t>
        </is>
      </c>
      <c r="E38" s="218" t="inlineStr">
        <is>
          <t>SP</t>
        </is>
      </c>
      <c r="F38" s="237" t="inlineStr">
        <is>
          <t>新建 SP Auto campaign，日預算 $10，CPC 出價 $2.00，30天跑數據</t>
        </is>
      </c>
      <c r="G38" s="219" t="n">
        <v>284.34</v>
      </c>
      <c r="H38" s="220" t="n">
        <v>0.62</v>
      </c>
    </row>
    <row r="39" ht="28" customHeight="1">
      <c r="A39" s="236" t="inlineStr"/>
      <c r="B39" s="238" t="n"/>
      <c r="C39" s="238" t="n"/>
      <c r="D39" s="238" t="n"/>
      <c r="E39" s="218" t="inlineStr">
        <is>
          <t>SB</t>
        </is>
      </c>
      <c r="F39" s="237" t="inlineStr">
        <is>
          <t>新建 SB Banner campaign，指向此產品 Store Page，CPC $2.00</t>
        </is>
      </c>
      <c r="G39" s="238" t="n"/>
      <c r="H39" s="238" t="n"/>
    </row>
    <row r="40" ht="28" customHeight="1">
      <c r="A40" s="236" t="inlineStr"/>
      <c r="B40" s="238" t="n"/>
      <c r="C40" s="238" t="n"/>
      <c r="D40" s="238" t="n"/>
      <c r="E40" s="218" t="inlineStr">
        <is>
          <t>SD</t>
        </is>
      </c>
      <c r="F40" s="237" t="inlineStr">
        <is>
          <t>新建 SD Audience campaign，目標 Competitor ASIN 的瀏覽受眾</t>
        </is>
      </c>
      <c r="G40" s="238" t="n"/>
      <c r="H40" s="238" t="n"/>
    </row>
    <row r="41" ht="28" customHeight="1">
      <c r="A41" s="236" t="inlineStr"/>
      <c r="B41" s="238" t="n"/>
      <c r="C41" s="238" t="n"/>
      <c r="D41" s="238" t="n"/>
      <c r="E41" s="218" t="inlineStr">
        <is>
          <t>AMC</t>
        </is>
      </c>
      <c r="F41" s="237" t="inlineStr">
        <is>
          <t>建立 AMC Lookalike 受眾 → 相似購買行為 → 套用至 SD campaign</t>
        </is>
      </c>
      <c r="G41" s="238" t="n"/>
      <c r="H41" s="238" t="n"/>
    </row>
    <row r="42" ht="28" customHeight="1">
      <c r="A42" s="236" t="inlineStr"/>
      <c r="B42" s="238" t="n"/>
      <c r="C42" s="238" t="n"/>
      <c r="D42" s="238" t="n"/>
      <c r="E42" s="218" t="inlineStr">
        <is>
          <t>KW</t>
        </is>
      </c>
      <c r="F42" s="237" t="inlineStr">
        <is>
          <t>用現有暢銷產品的高轉換 KW 根詞，建立 SP Exact Match campaign</t>
        </is>
      </c>
      <c r="G42" s="238" t="n"/>
      <c r="H42" s="238" t="n"/>
    </row>
    <row r="43" ht="4" customHeight="1">
      <c r="A43" s="229" t="n"/>
      <c r="B43" s="229" t="n"/>
      <c r="C43" s="229" t="n"/>
      <c r="D43" s="229" t="n"/>
      <c r="E43" s="229" t="n"/>
      <c r="F43" s="229" t="n"/>
      <c r="G43" s="229" t="n"/>
      <c r="H43" s="229" t="n"/>
    </row>
  </sheetData>
  <mergeCells count="5">
    <mergeCell ref="A4:H4"/>
    <mergeCell ref="A26:H26"/>
    <mergeCell ref="A15:H15"/>
    <mergeCell ref="A1:H1"/>
    <mergeCell ref="A37:H3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2026-03-08T16:13:34Z</dcterms:created>
  <dcterms:modified xsi:type="dcterms:W3CDTF">2026-03-08T16:13:34Z</dcterms:modified>
</cp:coreProperties>
</file>