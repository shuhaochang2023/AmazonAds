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銷售預估" sheetId="1" r:id="rId5"/>
    <sheet state="visible" name="0121 銷售預估" sheetId="2" r:id="rId6"/>
    <sheet state="visible" name="日本魚油 Relaunch" sheetId="3" r:id="rId7"/>
    <sheet state="visible" name="Sheet3" sheetId="4" r:id="rId8"/>
    <sheet state="hidden" name="貨量預估" sheetId="5" r:id="rId9"/>
  </sheets>
  <definedNames/>
  <calcPr/>
</workbook>
</file>

<file path=xl/sharedStrings.xml><?xml version="1.0" encoding="utf-8"?>
<sst xmlns="http://schemas.openxmlformats.org/spreadsheetml/2006/main" count="87" uniqueCount="66">
  <si>
    <t>2023 總營業額</t>
  </si>
  <si>
    <t>2024 總營業額</t>
  </si>
  <si>
    <t>2023 總廣告費</t>
  </si>
  <si>
    <t>2024 總廣告費</t>
  </si>
  <si>
    <t>運動太陽眼鏡</t>
  </si>
  <si>
    <t>預估銷量</t>
  </si>
  <si>
    <t>售價</t>
  </si>
  <si>
    <t>當月營業額</t>
  </si>
  <si>
    <t>廣告TACOS</t>
  </si>
  <si>
    <t>站內廣告費</t>
  </si>
  <si>
    <t>dha nutritional 
supplements 
BSR #20</t>
  </si>
  <si>
    <t>魚油軟糖</t>
  </si>
  <si>
    <t>預估銷量 / 月</t>
  </si>
  <si>
    <t>售價 / pc</t>
  </si>
  <si>
    <t>回款 / pc</t>
  </si>
  <si>
    <t>營業額 / 月</t>
  </si>
  <si>
    <t>廣告費 / 月</t>
  </si>
  <si>
    <t>廣告預算 / 日</t>
  </si>
  <si>
    <t>回款 / 月</t>
  </si>
  <si>
    <t>現金流 / 月</t>
  </si>
  <si>
    <t xml:space="preserve">累積月底現金流 </t>
  </si>
  <si>
    <t>月底剩餘庫存</t>
  </si>
  <si>
    <t>3/1-3/7</t>
  </si>
  <si>
    <t>實際銷售</t>
  </si>
  <si>
    <t>實際銷量 / 月</t>
  </si>
  <si>
    <t>廣告花費 / 日</t>
  </si>
  <si>
    <t>銷量達成率</t>
  </si>
  <si>
    <t>* 評估銷售</t>
  </si>
  <si>
    <t>* 此時選擇是否追加生產</t>
  </si>
  <si>
    <t>* 目前魚油軟糖價格仍有上調空間</t>
  </si>
  <si>
    <t>訂閱</t>
  </si>
  <si>
    <t>2 入</t>
  </si>
  <si>
    <t>* 依此計劃全部售出後不需經銷即可回款約 3萬7 美金</t>
  </si>
  <si>
    <t>Sales Price</t>
  </si>
  <si>
    <t>coupon</t>
  </si>
  <si>
    <t>* 商品保存期限約 2027 年中</t>
  </si>
  <si>
    <t>* 我們價格是很有競爭力的，而且現在才剛開始，探索期的 TACOS 本來就是高，關鍵字還沒 index，Review 也少，之後所有的條件都是越來越好</t>
  </si>
  <si>
    <t>魚油單入</t>
  </si>
  <si>
    <t>2月</t>
  </si>
  <si>
    <t>3月</t>
  </si>
  <si>
    <t>增加庫存</t>
  </si>
  <si>
    <t>剩餘庫存</t>
  </si>
  <si>
    <t>自然銷量</t>
  </si>
  <si>
    <t>廣告銷量</t>
  </si>
  <si>
    <t>廣告訂單成本</t>
  </si>
  <si>
    <t>廣告預算</t>
  </si>
  <si>
    <t>Coupon</t>
  </si>
  <si>
    <t>S &amp; S</t>
  </si>
  <si>
    <t>Promotion code
 (Tomme Lee only)</t>
  </si>
  <si>
    <t>End Price</t>
  </si>
  <si>
    <t>2/2-2/22</t>
  </si>
  <si>
    <t>2/23-3/6
 (Tomme Lee 活動: 2/27-3/6)</t>
  </si>
  <si>
    <t>5 件 S &amp; S 以上會更划算</t>
  </si>
  <si>
    <t>3/7-3/24 (Spring Sale 之前)</t>
  </si>
  <si>
    <t>3/25- Spring Sale</t>
  </si>
  <si>
    <t>試單期間</t>
  </si>
  <si>
    <t>看完試單成果
再決定大貨數量</t>
  </si>
  <si>
    <t>大貨Launch</t>
  </si>
  <si>
    <t>B0C8Y6WVL6</t>
  </si>
  <si>
    <t>積極版本</t>
  </si>
  <si>
    <t>下單時間</t>
  </si>
  <si>
    <t>下單數量</t>
  </si>
  <si>
    <t>進倉時間</t>
  </si>
  <si>
    <t>進倉數量</t>
  </si>
  <si>
    <t>*下單到進倉可銷售的時間抓 50 天</t>
  </si>
  <si>
    <t>*抓約2個月下單一次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</si>
</sst>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/m"/>
    <numFmt numFmtId="165" formatCode="[$US$]#,##0.00"/>
    <numFmt numFmtId="166" formatCode="&quot;$&quot;#,##0.00"/>
    <numFmt numFmtId="167" formatCode="&quot;$&quot;#,##0"/>
    <numFmt numFmtId="168" formatCode="m/d"/>
    <numFmt numFmtId="169" formatCode="[$¥]#,##0"/>
  </numFmts>
  <fonts count="14">
    <font>
      <sz val="10.0"/>
      <color rgb="FF000000"/>
      <name val="Arial"/>
      <scheme val="minor"/>
    </font>
    <font>
      <color theme="1"/>
      <name val="Arial"/>
    </font>
    <font>
      <color rgb="FF6AA84F"/>
      <name val="Arial"/>
    </font>
    <font>
      <color rgb="FFFF0000"/>
      <name val="Arial"/>
      <scheme val="minor"/>
    </font>
    <font>
      <sz val="10.0"/>
      <color rgb="FF0000F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0000FF"/>
      <name val="Arial"/>
      <scheme val="minor"/>
    </font>
    <font>
      <strike/>
      <color theme="1"/>
      <name val="Arial"/>
      <scheme val="minor"/>
    </font>
    <font>
      <sz val="12.0"/>
      <color rgb="FF000000"/>
      <name val="微軟正黑體"/>
    </font>
    <font>
      <sz val="12.0"/>
      <color theme="1"/>
      <name val="Arial"/>
      <scheme val="minor"/>
    </font>
    <font>
      <color rgb="FFFF9900"/>
      <name val="Arial"/>
    </font>
    <font>
      <color theme="4"/>
      <name val="Arial"/>
      <scheme val="minor"/>
    </font>
    <font>
      <color rgb="FF4285F4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CAEDFB"/>
        <bgColor rgb="FFCAEDFB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FF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FF00FF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164" xfId="0" applyAlignment="1" applyFill="1" applyFont="1" applyNumberFormat="1">
      <alignment horizontal="center" vertical="bottom"/>
    </xf>
    <xf borderId="1" fillId="3" fontId="1" numFmtId="164" xfId="0" applyAlignment="1" applyBorder="1" applyFill="1" applyFont="1" applyNumberFormat="1">
      <alignment horizontal="center" vertical="bottom"/>
    </xf>
    <xf borderId="1" fillId="4" fontId="1" numFmtId="164" xfId="0" applyAlignment="1" applyBorder="1" applyFill="1" applyFont="1" applyNumberFormat="1">
      <alignment horizontal="center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6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4" fontId="1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3" fillId="0" fontId="1" numFmtId="6" xfId="0" applyAlignment="1" applyBorder="1" applyFont="1" applyNumberFormat="1">
      <alignment horizontal="center" vertical="bottom"/>
    </xf>
    <xf borderId="2" fillId="0" fontId="1" numFmtId="165" xfId="0" applyAlignment="1" applyBorder="1" applyFont="1" applyNumberFormat="1">
      <alignment horizontal="center" readingOrder="0" vertical="bottom"/>
    </xf>
    <xf borderId="3" fillId="0" fontId="1" numFmtId="9" xfId="0" applyAlignment="1" applyBorder="1" applyFont="1" applyNumberFormat="1">
      <alignment horizontal="center" readingOrder="0" vertical="bottom"/>
    </xf>
    <xf borderId="2" fillId="0" fontId="2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6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readingOrder="0" vertical="bottom"/>
    </xf>
    <xf borderId="0" fillId="0" fontId="1" numFmtId="9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1" fillId="3" fontId="1" numFmtId="164" xfId="0" applyAlignment="1" applyBorder="1" applyFont="1" applyNumberFormat="1">
      <alignment horizontal="center" readingOrder="0" vertical="bottom"/>
    </xf>
    <xf borderId="1" fillId="5" fontId="1" numFmtId="164" xfId="0" applyAlignment="1" applyBorder="1" applyFill="1" applyFont="1" applyNumberFormat="1">
      <alignment horizontal="center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5" fillId="4" fontId="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readingOrder="0" vertical="bottom"/>
    </xf>
    <xf borderId="4" fillId="0" fontId="1" numFmtId="8" xfId="0" applyAlignment="1" applyBorder="1" applyFont="1" applyNumberFormat="1">
      <alignment horizontal="center" readingOrder="0" vertical="bottom"/>
    </xf>
    <xf borderId="4" fillId="0" fontId="1" numFmtId="6" xfId="0" applyAlignment="1" applyBorder="1" applyFont="1" applyNumberFormat="1">
      <alignment horizontal="center" vertical="bottom"/>
    </xf>
    <xf borderId="5" fillId="0" fontId="1" numFmtId="165" xfId="0" applyAlignment="1" applyBorder="1" applyFont="1" applyNumberFormat="1">
      <alignment horizontal="center" readingOrder="0" vertical="bottom"/>
    </xf>
    <xf borderId="6" fillId="0" fontId="1" numFmtId="0" xfId="0" applyAlignment="1" applyBorder="1" applyFont="1">
      <alignment horizontal="center" vertical="bottom"/>
    </xf>
    <xf borderId="4" fillId="0" fontId="1" numFmtId="9" xfId="0" applyAlignment="1" applyBorder="1" applyFont="1" applyNumberFormat="1">
      <alignment horizontal="center" readingOrder="0" vertical="bottom"/>
    </xf>
    <xf borderId="4" fillId="0" fontId="1" numFmtId="6" xfId="0" applyAlignment="1" applyBorder="1" applyFont="1" applyNumberFormat="1">
      <alignment horizontal="center" readingOrder="0" vertical="bottom"/>
    </xf>
    <xf borderId="5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/>
    </xf>
    <xf borderId="0" fillId="0" fontId="5" numFmtId="10" xfId="0" applyFont="1" applyNumberFormat="1"/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4" fillId="0" fontId="1" numFmtId="8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 vertical="bottom"/>
    </xf>
    <xf borderId="4" fillId="0" fontId="5" numFmtId="3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3" numFmtId="1" xfId="0" applyAlignment="1" applyFont="1" applyNumberFormat="1">
      <alignment horizontal="center" readingOrder="0"/>
    </xf>
    <xf borderId="0" fillId="0" fontId="5" numFmtId="10" xfId="0" applyAlignment="1" applyFont="1" applyNumberFormat="1">
      <alignment horizontal="center"/>
    </xf>
    <xf borderId="0" fillId="0" fontId="5" numFmtId="166" xfId="0" applyAlignment="1" applyFont="1" applyNumberFormat="1">
      <alignment readingOrder="0"/>
    </xf>
    <xf borderId="0" fillId="0" fontId="5" numFmtId="9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8" numFmtId="167" xfId="0" applyAlignment="1" applyFont="1" applyNumberFormat="1">
      <alignment readingOrder="0"/>
    </xf>
    <xf borderId="0" fillId="6" fontId="5" numFmtId="0" xfId="0" applyAlignment="1" applyFill="1" applyFont="1">
      <alignment readingOrder="0"/>
    </xf>
    <xf borderId="0" fillId="0" fontId="5" numFmtId="168" xfId="0" applyAlignment="1" applyFont="1" applyNumberFormat="1">
      <alignment readingOrder="0"/>
    </xf>
    <xf borderId="0" fillId="0" fontId="5" numFmtId="0" xfId="0" applyFont="1"/>
    <xf borderId="0" fillId="0" fontId="5" numFmtId="169" xfId="0" applyAlignment="1" applyFont="1" applyNumberFormat="1">
      <alignment readingOrder="0"/>
    </xf>
    <xf borderId="0" fillId="0" fontId="5" numFmtId="169" xfId="0" applyFont="1" applyNumberFormat="1"/>
    <xf borderId="4" fillId="0" fontId="9" numFmtId="0" xfId="0" applyAlignment="1" applyBorder="1" applyFont="1">
      <alignment shrinkToFit="0" vertical="center" wrapText="0"/>
    </xf>
    <xf borderId="4" fillId="0" fontId="9" numFmtId="0" xfId="0" applyAlignment="1" applyBorder="1" applyFont="1">
      <alignment horizontal="center" readingOrder="0" shrinkToFit="0" vertical="center" wrapText="0"/>
    </xf>
    <xf borderId="4" fillId="0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shrinkToFit="0" vertical="center" wrapText="0"/>
    </xf>
    <xf borderId="0" fillId="0" fontId="10" numFmtId="0" xfId="0" applyAlignment="1" applyFont="1">
      <alignment vertical="center"/>
    </xf>
    <xf borderId="4" fillId="0" fontId="9" numFmtId="0" xfId="0" applyAlignment="1" applyBorder="1" applyFont="1">
      <alignment readingOrder="0" shrinkToFit="0" vertical="center" wrapText="0"/>
    </xf>
    <xf borderId="4" fillId="7" fontId="9" numFmtId="0" xfId="0" applyAlignment="1" applyBorder="1" applyFill="1" applyFont="1">
      <alignment horizontal="center" readingOrder="0" shrinkToFit="0" vertical="center" wrapText="0"/>
    </xf>
    <xf borderId="4" fillId="0" fontId="9" numFmtId="9" xfId="0" applyAlignment="1" applyBorder="1" applyFont="1" applyNumberFormat="1">
      <alignment horizontal="center" readingOrder="0" shrinkToFit="0" vertical="center" wrapText="0"/>
    </xf>
    <xf borderId="4" fillId="0" fontId="9" numFmtId="0" xfId="0" applyAlignment="1" applyBorder="1" applyFont="1">
      <alignment horizontal="center" shrinkToFit="0" vertical="center" wrapText="0"/>
    </xf>
    <xf borderId="4" fillId="7" fontId="9" numFmtId="2" xfId="0" applyAlignment="1" applyBorder="1" applyFont="1" applyNumberFormat="1">
      <alignment horizontal="center" readingOrder="0" shrinkToFit="0" vertical="center" wrapText="0"/>
    </xf>
    <xf borderId="4" fillId="0" fontId="9" numFmtId="0" xfId="0" applyAlignment="1" applyBorder="1" applyFont="1">
      <alignment readingOrder="0" vertical="center"/>
    </xf>
    <xf borderId="0" fillId="0" fontId="9" numFmtId="0" xfId="0" applyAlignment="1" applyFont="1">
      <alignment readingOrder="0" shrinkToFit="0" vertical="center" wrapText="0"/>
    </xf>
    <xf borderId="1" fillId="2" fontId="1" numFmtId="164" xfId="0" applyAlignment="1" applyBorder="1" applyFont="1" applyNumberFormat="1">
      <alignment horizontal="center" vertical="bottom"/>
    </xf>
    <xf borderId="7" fillId="0" fontId="1" numFmtId="0" xfId="0" applyAlignment="1" applyBorder="1" applyFont="1">
      <alignment horizontal="center" readingOrder="0" vertical="bottom"/>
    </xf>
    <xf borderId="8" fillId="0" fontId="1" numFmtId="0" xfId="0" applyAlignment="1" applyBorder="1" applyFont="1">
      <alignment horizontal="center" readingOrder="0" vertical="bottom"/>
    </xf>
    <xf borderId="1" fillId="0" fontId="1" numFmtId="6" xfId="0" applyAlignment="1" applyBorder="1" applyFont="1" applyNumberFormat="1">
      <alignment horizontal="center" vertical="bottom"/>
    </xf>
    <xf borderId="9" fillId="0" fontId="1" numFmtId="6" xfId="0" applyAlignment="1" applyBorder="1" applyFont="1" applyNumberFormat="1">
      <alignment horizontal="center" vertical="bottom"/>
    </xf>
    <xf borderId="1" fillId="0" fontId="1" numFmtId="9" xfId="0" applyAlignment="1" applyBorder="1" applyFont="1" applyNumberFormat="1">
      <alignment horizontal="center" readingOrder="0" vertical="bottom"/>
    </xf>
    <xf borderId="9" fillId="0" fontId="1" numFmtId="9" xfId="0" applyAlignment="1" applyBorder="1" applyFont="1" applyNumberFormat="1">
      <alignment horizontal="center" readingOrder="0" vertical="bottom"/>
    </xf>
    <xf borderId="2" fillId="0" fontId="11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/>
    </xf>
    <xf borderId="7" fillId="0" fontId="12" numFmtId="168" xfId="0" applyAlignment="1" applyBorder="1" applyFont="1" applyNumberFormat="1">
      <alignment horizontal="center" readingOrder="0"/>
    </xf>
    <xf borderId="8" fillId="0" fontId="12" numFmtId="0" xfId="0" applyAlignment="1" applyBorder="1" applyFont="1">
      <alignment horizontal="center"/>
    </xf>
    <xf borderId="4" fillId="0" fontId="13" numFmtId="168" xfId="0" applyAlignment="1" applyBorder="1" applyFont="1" applyNumberFormat="1">
      <alignment horizontal="center" readingOrder="0"/>
    </xf>
    <xf borderId="7" fillId="0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/>
    </xf>
    <xf borderId="7" fillId="0" fontId="12" numFmtId="0" xfId="0" applyAlignment="1" applyBorder="1" applyFont="1">
      <alignment horizontal="center"/>
    </xf>
    <xf borderId="8" fillId="0" fontId="12" numFmtId="168" xfId="0" applyAlignment="1" applyBorder="1" applyFont="1" applyNumberFormat="1">
      <alignment horizontal="center" readingOrder="0"/>
    </xf>
    <xf borderId="7" fillId="0" fontId="5" numFmtId="0" xfId="0" applyAlignment="1" applyBorder="1" applyFont="1">
      <alignment horizontal="center"/>
    </xf>
    <xf borderId="8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min="3" max="5" width="12.63" outlineLevel="1"/>
    <col min="8" max="17" width="12.63" outlineLevel="1"/>
    <col collapsed="1" min="19" max="19" width="12.63"/>
    <col hidden="1" min="20" max="29" width="12.63" outlineLevel="1"/>
  </cols>
  <sheetData>
    <row r="1">
      <c r="A1" s="1"/>
      <c r="B1" s="1"/>
      <c r="C1" s="2">
        <v>45200.0</v>
      </c>
      <c r="D1" s="2">
        <v>45231.0</v>
      </c>
      <c r="E1" s="2">
        <v>45261.0</v>
      </c>
      <c r="F1" s="3">
        <v>45292.0</v>
      </c>
      <c r="G1" s="3">
        <v>45323.0</v>
      </c>
      <c r="H1" s="3">
        <v>45352.0</v>
      </c>
      <c r="I1" s="3">
        <v>45383.0</v>
      </c>
      <c r="J1" s="3">
        <v>45413.0</v>
      </c>
      <c r="K1" s="3">
        <v>45444.0</v>
      </c>
      <c r="L1" s="3">
        <v>45474.0</v>
      </c>
      <c r="M1" s="3">
        <v>45505.0</v>
      </c>
      <c r="N1" s="3">
        <v>45536.0</v>
      </c>
      <c r="O1" s="3">
        <v>45566.0</v>
      </c>
      <c r="P1" s="3">
        <v>45597.0</v>
      </c>
      <c r="Q1" s="3">
        <v>45627.0</v>
      </c>
      <c r="R1" s="4">
        <v>45658.0</v>
      </c>
      <c r="S1" s="4">
        <v>45689.0</v>
      </c>
      <c r="T1" s="4">
        <v>45717.0</v>
      </c>
      <c r="U1" s="4">
        <v>45748.0</v>
      </c>
      <c r="V1" s="4">
        <v>45778.0</v>
      </c>
      <c r="W1" s="4">
        <v>45809.0</v>
      </c>
      <c r="X1" s="4">
        <v>45839.0</v>
      </c>
      <c r="Y1" s="4">
        <v>45870.0</v>
      </c>
      <c r="Z1" s="4">
        <v>45901.0</v>
      </c>
      <c r="AA1" s="4">
        <v>45931.0</v>
      </c>
      <c r="AB1" s="4">
        <v>45962.0</v>
      </c>
      <c r="AC1" s="4">
        <v>45992.0</v>
      </c>
    </row>
    <row r="2">
      <c r="A2" s="1"/>
      <c r="B2" s="5"/>
      <c r="C2" s="1"/>
      <c r="D2" s="1"/>
      <c r="E2" s="1"/>
      <c r="F2" s="5"/>
      <c r="G2" s="1"/>
    </row>
    <row r="3">
      <c r="A3" s="1"/>
      <c r="B3" s="6" t="s">
        <v>0</v>
      </c>
      <c r="C3" s="7">
        <f>SUM(C7:E7)+SUM(C13:E13)</f>
        <v>62475</v>
      </c>
      <c r="D3" s="1"/>
      <c r="E3" s="1"/>
      <c r="F3" s="6" t="s">
        <v>1</v>
      </c>
      <c r="G3" s="7">
        <f>SUM(F7:Q7)+SUM(F13:Q13)</f>
        <v>484806</v>
      </c>
      <c r="R3" s="6" t="s">
        <v>1</v>
      </c>
      <c r="S3" s="7">
        <f>SUM(R7:AC7)+SUM(R13:AC13)</f>
        <v>884646</v>
      </c>
    </row>
    <row r="4">
      <c r="A4" s="1"/>
      <c r="B4" s="6" t="s">
        <v>2</v>
      </c>
      <c r="C4" s="7">
        <f>SUM(C9:E9)+sum(C15:E15)</f>
        <v>70221.9</v>
      </c>
      <c r="D4" s="1"/>
      <c r="E4" s="1"/>
      <c r="F4" s="6" t="s">
        <v>3</v>
      </c>
      <c r="G4" s="7">
        <f>SUM(F9:Q9)+sum(F15:Q15)</f>
        <v>142942.8</v>
      </c>
      <c r="R4" s="6" t="s">
        <v>3</v>
      </c>
      <c r="S4" s="7">
        <f>SUM(R9:AC9)+sum(R15:AC15)</f>
        <v>92088.15</v>
      </c>
    </row>
    <row r="5">
      <c r="A5" s="8"/>
      <c r="B5" s="8"/>
      <c r="C5" s="8"/>
      <c r="D5" s="8"/>
      <c r="E5" s="8"/>
    </row>
    <row r="6">
      <c r="A6" s="9" t="s">
        <v>4</v>
      </c>
      <c r="B6" s="10" t="s">
        <v>5</v>
      </c>
      <c r="C6" s="10">
        <v>700.0</v>
      </c>
      <c r="D6" s="10">
        <v>800.0</v>
      </c>
      <c r="E6" s="10">
        <v>1000.0</v>
      </c>
      <c r="F6" s="11">
        <v>800.0</v>
      </c>
      <c r="G6" s="11">
        <v>1000.0</v>
      </c>
      <c r="H6" s="11">
        <v>1300.0</v>
      </c>
      <c r="I6" s="11">
        <v>1800.0</v>
      </c>
      <c r="J6" s="11">
        <v>2500.0</v>
      </c>
      <c r="K6" s="11">
        <v>2500.0</v>
      </c>
      <c r="L6" s="11">
        <v>2200.0</v>
      </c>
      <c r="M6" s="11">
        <v>1900.0</v>
      </c>
      <c r="N6" s="11">
        <v>1600.0</v>
      </c>
      <c r="O6" s="11">
        <v>1300.0</v>
      </c>
      <c r="P6" s="11">
        <v>1000.0</v>
      </c>
      <c r="Q6" s="11">
        <v>1500.0</v>
      </c>
      <c r="R6" s="11">
        <v>1200.0</v>
      </c>
      <c r="S6" s="11">
        <v>1700.0</v>
      </c>
      <c r="T6" s="11">
        <v>2500.0</v>
      </c>
      <c r="U6" s="11">
        <v>3500.0</v>
      </c>
      <c r="V6" s="11">
        <v>5000.0</v>
      </c>
      <c r="W6" s="11">
        <v>5000.0</v>
      </c>
      <c r="X6" s="11">
        <v>4000.0</v>
      </c>
      <c r="Y6" s="11">
        <v>3500.0</v>
      </c>
      <c r="Z6" s="11">
        <v>3000.0</v>
      </c>
      <c r="AA6" s="11">
        <v>2000.0</v>
      </c>
      <c r="AB6" s="11">
        <v>1500.0</v>
      </c>
      <c r="AC6" s="11">
        <v>2500.0</v>
      </c>
    </row>
    <row r="7">
      <c r="A7" s="12" t="s">
        <v>6</v>
      </c>
      <c r="B7" s="13" t="s">
        <v>7</v>
      </c>
      <c r="C7" s="14">
        <f t="shared" ref="C7:AC7" si="1">C6*$A8</f>
        <v>17493</v>
      </c>
      <c r="D7" s="14">
        <f t="shared" si="1"/>
        <v>19992</v>
      </c>
      <c r="E7" s="14">
        <f t="shared" si="1"/>
        <v>24990</v>
      </c>
      <c r="F7" s="14">
        <f t="shared" si="1"/>
        <v>19992</v>
      </c>
      <c r="G7" s="14">
        <f t="shared" si="1"/>
        <v>24990</v>
      </c>
      <c r="H7" s="14">
        <f t="shared" si="1"/>
        <v>32487</v>
      </c>
      <c r="I7" s="14">
        <f t="shared" si="1"/>
        <v>44982</v>
      </c>
      <c r="J7" s="14">
        <f t="shared" si="1"/>
        <v>62475</v>
      </c>
      <c r="K7" s="14">
        <f t="shared" si="1"/>
        <v>62475</v>
      </c>
      <c r="L7" s="14">
        <f t="shared" si="1"/>
        <v>54978</v>
      </c>
      <c r="M7" s="14">
        <f t="shared" si="1"/>
        <v>47481</v>
      </c>
      <c r="N7" s="14">
        <f t="shared" si="1"/>
        <v>39984</v>
      </c>
      <c r="O7" s="14">
        <f t="shared" si="1"/>
        <v>32487</v>
      </c>
      <c r="P7" s="14">
        <f t="shared" si="1"/>
        <v>24990</v>
      </c>
      <c r="Q7" s="14">
        <f t="shared" si="1"/>
        <v>37485</v>
      </c>
      <c r="R7" s="14">
        <f t="shared" si="1"/>
        <v>29988</v>
      </c>
      <c r="S7" s="14">
        <f t="shared" si="1"/>
        <v>42483</v>
      </c>
      <c r="T7" s="14">
        <f t="shared" si="1"/>
        <v>62475</v>
      </c>
      <c r="U7" s="14">
        <f t="shared" si="1"/>
        <v>87465</v>
      </c>
      <c r="V7" s="14">
        <f t="shared" si="1"/>
        <v>124950</v>
      </c>
      <c r="W7" s="14">
        <f t="shared" si="1"/>
        <v>124950</v>
      </c>
      <c r="X7" s="14">
        <f t="shared" si="1"/>
        <v>99960</v>
      </c>
      <c r="Y7" s="14">
        <f t="shared" si="1"/>
        <v>87465</v>
      </c>
      <c r="Z7" s="14">
        <f t="shared" si="1"/>
        <v>74970</v>
      </c>
      <c r="AA7" s="14">
        <f t="shared" si="1"/>
        <v>49980</v>
      </c>
      <c r="AB7" s="14">
        <f t="shared" si="1"/>
        <v>37485</v>
      </c>
      <c r="AC7" s="14">
        <f t="shared" si="1"/>
        <v>62475</v>
      </c>
    </row>
    <row r="8">
      <c r="A8" s="15">
        <v>24.99</v>
      </c>
      <c r="B8" s="13" t="s">
        <v>8</v>
      </c>
      <c r="C8" s="16">
        <v>1.5</v>
      </c>
      <c r="D8" s="16">
        <v>1.2</v>
      </c>
      <c r="E8" s="16">
        <v>0.8</v>
      </c>
      <c r="F8" s="16">
        <v>0.9</v>
      </c>
      <c r="G8" s="16">
        <v>0.7</v>
      </c>
      <c r="H8" s="16">
        <v>0.5</v>
      </c>
      <c r="I8" s="16">
        <v>0.4</v>
      </c>
      <c r="J8" s="16">
        <v>0.3</v>
      </c>
      <c r="K8" s="16">
        <v>0.25</v>
      </c>
      <c r="L8" s="16">
        <v>0.2</v>
      </c>
      <c r="M8" s="16">
        <v>0.2</v>
      </c>
      <c r="N8" s="16">
        <v>0.15</v>
      </c>
      <c r="O8" s="16">
        <v>0.15</v>
      </c>
      <c r="P8" s="16">
        <v>0.15</v>
      </c>
      <c r="Q8" s="16">
        <v>0.1</v>
      </c>
      <c r="R8" s="16">
        <v>0.15</v>
      </c>
      <c r="S8" s="16">
        <v>0.15</v>
      </c>
      <c r="T8" s="16">
        <v>0.1</v>
      </c>
      <c r="U8" s="16">
        <v>0.1</v>
      </c>
      <c r="V8" s="16">
        <v>0.1</v>
      </c>
      <c r="W8" s="16">
        <v>0.1</v>
      </c>
      <c r="X8" s="16">
        <v>0.1</v>
      </c>
      <c r="Y8" s="16">
        <v>0.1</v>
      </c>
      <c r="Z8" s="16">
        <v>0.1</v>
      </c>
      <c r="AA8" s="16">
        <v>0.1</v>
      </c>
      <c r="AB8" s="16">
        <v>0.1</v>
      </c>
      <c r="AC8" s="16">
        <v>0.1</v>
      </c>
    </row>
    <row r="9">
      <c r="A9" s="17"/>
      <c r="B9" s="13" t="s">
        <v>9</v>
      </c>
      <c r="C9" s="14">
        <f t="shared" ref="C9:AC9" si="2">C7*C8</f>
        <v>26239.5</v>
      </c>
      <c r="D9" s="14">
        <f t="shared" si="2"/>
        <v>23990.4</v>
      </c>
      <c r="E9" s="14">
        <f t="shared" si="2"/>
        <v>19992</v>
      </c>
      <c r="F9" s="14">
        <f t="shared" si="2"/>
        <v>17992.8</v>
      </c>
      <c r="G9" s="14">
        <f t="shared" si="2"/>
        <v>17493</v>
      </c>
      <c r="H9" s="14">
        <f t="shared" si="2"/>
        <v>16243.5</v>
      </c>
      <c r="I9" s="14">
        <f t="shared" si="2"/>
        <v>17992.8</v>
      </c>
      <c r="J9" s="14">
        <f t="shared" si="2"/>
        <v>18742.5</v>
      </c>
      <c r="K9" s="14">
        <f t="shared" si="2"/>
        <v>15618.75</v>
      </c>
      <c r="L9" s="14">
        <f t="shared" si="2"/>
        <v>10995.6</v>
      </c>
      <c r="M9" s="14">
        <f t="shared" si="2"/>
        <v>9496.2</v>
      </c>
      <c r="N9" s="14">
        <f t="shared" si="2"/>
        <v>5997.6</v>
      </c>
      <c r="O9" s="14">
        <f t="shared" si="2"/>
        <v>4873.05</v>
      </c>
      <c r="P9" s="14">
        <f t="shared" si="2"/>
        <v>3748.5</v>
      </c>
      <c r="Q9" s="14">
        <f t="shared" si="2"/>
        <v>3748.5</v>
      </c>
      <c r="R9" s="14">
        <f t="shared" si="2"/>
        <v>4498.2</v>
      </c>
      <c r="S9" s="14">
        <f t="shared" si="2"/>
        <v>6372.45</v>
      </c>
      <c r="T9" s="14">
        <f t="shared" si="2"/>
        <v>6247.5</v>
      </c>
      <c r="U9" s="14">
        <f t="shared" si="2"/>
        <v>8746.5</v>
      </c>
      <c r="V9" s="14">
        <f t="shared" si="2"/>
        <v>12495</v>
      </c>
      <c r="W9" s="14">
        <f t="shared" si="2"/>
        <v>12495</v>
      </c>
      <c r="X9" s="14">
        <f t="shared" si="2"/>
        <v>9996</v>
      </c>
      <c r="Y9" s="14">
        <f t="shared" si="2"/>
        <v>8746.5</v>
      </c>
      <c r="Z9" s="14">
        <f t="shared" si="2"/>
        <v>7497</v>
      </c>
      <c r="AA9" s="14">
        <f t="shared" si="2"/>
        <v>4998</v>
      </c>
      <c r="AB9" s="14">
        <f t="shared" si="2"/>
        <v>3748.5</v>
      </c>
      <c r="AC9" s="14">
        <f t="shared" si="2"/>
        <v>6247.5</v>
      </c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>
      <c r="A13" s="19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>
      <c r="A14" s="21"/>
      <c r="B14" s="19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>
      <c r="A15" s="23"/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5.38"/>
  </cols>
  <sheetData>
    <row r="1">
      <c r="A1" s="1"/>
      <c r="B1" s="1"/>
      <c r="C1" s="24">
        <v>46023.0</v>
      </c>
      <c r="D1" s="24">
        <v>46054.0</v>
      </c>
      <c r="E1" s="24">
        <v>46082.0</v>
      </c>
      <c r="F1" s="24">
        <v>46113.0</v>
      </c>
      <c r="G1" s="24">
        <v>46143.0</v>
      </c>
      <c r="H1" s="24">
        <v>46174.0</v>
      </c>
      <c r="I1" s="24">
        <v>46204.0</v>
      </c>
      <c r="J1" s="24">
        <v>46235.0</v>
      </c>
      <c r="K1" s="24">
        <v>46266.0</v>
      </c>
      <c r="L1" s="24">
        <v>46296.0</v>
      </c>
      <c r="M1" s="24">
        <v>46327.0</v>
      </c>
      <c r="N1" s="24">
        <v>46357.0</v>
      </c>
      <c r="O1" s="25">
        <v>46388.0</v>
      </c>
      <c r="P1" s="25">
        <v>46419.0</v>
      </c>
      <c r="Q1" s="25">
        <v>46447.0</v>
      </c>
      <c r="R1" s="25">
        <v>46478.0</v>
      </c>
    </row>
    <row r="2">
      <c r="A2" s="1"/>
      <c r="B2" s="5"/>
      <c r="C2" s="5"/>
      <c r="D2" s="1"/>
    </row>
    <row r="3">
      <c r="E3" s="26"/>
      <c r="H3" s="27" t="s">
        <v>10</v>
      </c>
    </row>
    <row r="4">
      <c r="A4" s="28" t="s">
        <v>11</v>
      </c>
      <c r="B4" s="29" t="s">
        <v>12</v>
      </c>
      <c r="C4" s="11">
        <v>200.0</v>
      </c>
      <c r="D4" s="11">
        <v>500.0</v>
      </c>
      <c r="E4" s="11">
        <v>800.0</v>
      </c>
      <c r="F4" s="11">
        <v>1200.0</v>
      </c>
      <c r="G4" s="11">
        <v>1500.0</v>
      </c>
      <c r="H4" s="11">
        <v>2000.0</v>
      </c>
      <c r="I4" s="11">
        <v>2000.0</v>
      </c>
      <c r="J4" s="11">
        <v>2000.0</v>
      </c>
      <c r="K4" s="11">
        <v>2000.0</v>
      </c>
      <c r="L4" s="11">
        <v>2000.0</v>
      </c>
      <c r="M4" s="11">
        <v>2000.0</v>
      </c>
      <c r="N4" s="11">
        <v>2000.0</v>
      </c>
      <c r="O4" s="11">
        <v>1500.0</v>
      </c>
      <c r="P4" s="11">
        <v>0.0</v>
      </c>
      <c r="Q4" s="11">
        <v>0.0</v>
      </c>
      <c r="R4" s="11">
        <v>0.0</v>
      </c>
    </row>
    <row r="5">
      <c r="A5" s="30"/>
      <c r="B5" s="29" t="s">
        <v>13</v>
      </c>
      <c r="C5" s="31">
        <v>14.99</v>
      </c>
      <c r="D5" s="31">
        <v>14.99</v>
      </c>
      <c r="E5" s="31">
        <v>14.99</v>
      </c>
      <c r="F5" s="31">
        <v>14.99</v>
      </c>
      <c r="G5" s="31">
        <v>14.99</v>
      </c>
      <c r="H5" s="31">
        <v>14.99</v>
      </c>
      <c r="I5" s="31">
        <v>14.99</v>
      </c>
      <c r="J5" s="31">
        <v>14.99</v>
      </c>
      <c r="K5" s="31">
        <v>14.99</v>
      </c>
      <c r="L5" s="31">
        <v>14.99</v>
      </c>
      <c r="M5" s="31">
        <v>14.99</v>
      </c>
      <c r="N5" s="31">
        <v>14.99</v>
      </c>
      <c r="O5" s="31">
        <v>14.99</v>
      </c>
      <c r="P5" s="31">
        <v>14.99</v>
      </c>
      <c r="Q5" s="31">
        <v>14.99</v>
      </c>
      <c r="R5" s="31">
        <v>14.99</v>
      </c>
    </row>
    <row r="6">
      <c r="A6" s="30"/>
      <c r="B6" s="29" t="s">
        <v>14</v>
      </c>
      <c r="C6" s="31">
        <f t="shared" ref="C6:R6" si="1">C5*0.85-3.92</f>
        <v>8.8215</v>
      </c>
      <c r="D6" s="31">
        <f t="shared" si="1"/>
        <v>8.8215</v>
      </c>
      <c r="E6" s="31">
        <f t="shared" si="1"/>
        <v>8.8215</v>
      </c>
      <c r="F6" s="31">
        <f t="shared" si="1"/>
        <v>8.8215</v>
      </c>
      <c r="G6" s="31">
        <f t="shared" si="1"/>
        <v>8.8215</v>
      </c>
      <c r="H6" s="31">
        <f t="shared" si="1"/>
        <v>8.8215</v>
      </c>
      <c r="I6" s="31">
        <f t="shared" si="1"/>
        <v>8.8215</v>
      </c>
      <c r="J6" s="31">
        <f t="shared" si="1"/>
        <v>8.8215</v>
      </c>
      <c r="K6" s="31">
        <f t="shared" si="1"/>
        <v>8.8215</v>
      </c>
      <c r="L6" s="31">
        <f t="shared" si="1"/>
        <v>8.8215</v>
      </c>
      <c r="M6" s="31">
        <f t="shared" si="1"/>
        <v>8.8215</v>
      </c>
      <c r="N6" s="31">
        <f t="shared" si="1"/>
        <v>8.8215</v>
      </c>
      <c r="O6" s="31">
        <f t="shared" si="1"/>
        <v>8.8215</v>
      </c>
      <c r="P6" s="31">
        <f t="shared" si="1"/>
        <v>8.8215</v>
      </c>
      <c r="Q6" s="31">
        <f t="shared" si="1"/>
        <v>8.8215</v>
      </c>
      <c r="R6" s="31">
        <f t="shared" si="1"/>
        <v>8.8215</v>
      </c>
    </row>
    <row r="7">
      <c r="A7" s="30"/>
      <c r="B7" s="29" t="s">
        <v>15</v>
      </c>
      <c r="C7" s="32">
        <f t="shared" ref="C7:R7" si="2">C4*C5</f>
        <v>2998</v>
      </c>
      <c r="D7" s="32">
        <f t="shared" si="2"/>
        <v>7495</v>
      </c>
      <c r="E7" s="32">
        <f t="shared" si="2"/>
        <v>11992</v>
      </c>
      <c r="F7" s="32">
        <f t="shared" si="2"/>
        <v>17988</v>
      </c>
      <c r="G7" s="32">
        <f t="shared" si="2"/>
        <v>22485</v>
      </c>
      <c r="H7" s="32">
        <f t="shared" si="2"/>
        <v>29980</v>
      </c>
      <c r="I7" s="32">
        <f t="shared" si="2"/>
        <v>29980</v>
      </c>
      <c r="J7" s="32">
        <f t="shared" si="2"/>
        <v>29980</v>
      </c>
      <c r="K7" s="32">
        <f t="shared" si="2"/>
        <v>29980</v>
      </c>
      <c r="L7" s="32">
        <f t="shared" si="2"/>
        <v>29980</v>
      </c>
      <c r="M7" s="32">
        <f t="shared" si="2"/>
        <v>29980</v>
      </c>
      <c r="N7" s="32">
        <f t="shared" si="2"/>
        <v>29980</v>
      </c>
      <c r="O7" s="32">
        <f t="shared" si="2"/>
        <v>22485</v>
      </c>
      <c r="P7" s="32">
        <f t="shared" si="2"/>
        <v>0</v>
      </c>
      <c r="Q7" s="32">
        <f t="shared" si="2"/>
        <v>0</v>
      </c>
      <c r="R7" s="32">
        <f t="shared" si="2"/>
        <v>0</v>
      </c>
    </row>
    <row r="8">
      <c r="A8" s="33"/>
      <c r="B8" s="34" t="s">
        <v>8</v>
      </c>
      <c r="C8" s="35">
        <v>1.8</v>
      </c>
      <c r="D8" s="35">
        <v>1.8</v>
      </c>
      <c r="E8" s="35">
        <v>1.5</v>
      </c>
      <c r="F8" s="35">
        <v>1.0</v>
      </c>
      <c r="G8" s="35">
        <v>0.8</v>
      </c>
      <c r="H8" s="35">
        <v>0.6</v>
      </c>
      <c r="I8" s="35">
        <v>0.4</v>
      </c>
      <c r="J8" s="35">
        <v>0.3</v>
      </c>
      <c r="K8" s="35">
        <v>0.2</v>
      </c>
      <c r="L8" s="35">
        <v>0.2</v>
      </c>
      <c r="M8" s="35">
        <v>0.15</v>
      </c>
      <c r="N8" s="35">
        <v>0.15</v>
      </c>
      <c r="O8" s="35">
        <v>0.15</v>
      </c>
      <c r="P8" s="35">
        <v>0.15</v>
      </c>
      <c r="Q8" s="35">
        <v>0.15</v>
      </c>
      <c r="R8" s="35">
        <v>0.15</v>
      </c>
    </row>
    <row r="9">
      <c r="A9" s="33"/>
      <c r="B9" s="29" t="s">
        <v>16</v>
      </c>
      <c r="C9" s="32">
        <f t="shared" ref="C9:R9" si="3">C7*C8</f>
        <v>5396.4</v>
      </c>
      <c r="D9" s="32">
        <f t="shared" si="3"/>
        <v>13491</v>
      </c>
      <c r="E9" s="32">
        <f t="shared" si="3"/>
        <v>17988</v>
      </c>
      <c r="F9" s="32">
        <f t="shared" si="3"/>
        <v>17988</v>
      </c>
      <c r="G9" s="32">
        <f t="shared" si="3"/>
        <v>17988</v>
      </c>
      <c r="H9" s="32">
        <f t="shared" si="3"/>
        <v>17988</v>
      </c>
      <c r="I9" s="32">
        <f t="shared" si="3"/>
        <v>11992</v>
      </c>
      <c r="J9" s="32">
        <f t="shared" si="3"/>
        <v>8994</v>
      </c>
      <c r="K9" s="32">
        <f t="shared" si="3"/>
        <v>5996</v>
      </c>
      <c r="L9" s="32">
        <f t="shared" si="3"/>
        <v>5996</v>
      </c>
      <c r="M9" s="32">
        <f t="shared" si="3"/>
        <v>4497</v>
      </c>
      <c r="N9" s="32">
        <f t="shared" si="3"/>
        <v>4497</v>
      </c>
      <c r="O9" s="32">
        <f t="shared" si="3"/>
        <v>3372.75</v>
      </c>
      <c r="P9" s="32">
        <f t="shared" si="3"/>
        <v>0</v>
      </c>
      <c r="Q9" s="32">
        <f t="shared" si="3"/>
        <v>0</v>
      </c>
      <c r="R9" s="32">
        <f t="shared" si="3"/>
        <v>0</v>
      </c>
    </row>
    <row r="10">
      <c r="A10" s="33"/>
      <c r="B10" s="29" t="s">
        <v>17</v>
      </c>
      <c r="C10" s="32">
        <f t="shared" ref="C10:R10" si="4">C9/30</f>
        <v>179.88</v>
      </c>
      <c r="D10" s="32">
        <f t="shared" si="4"/>
        <v>449.7</v>
      </c>
      <c r="E10" s="32">
        <f t="shared" si="4"/>
        <v>599.6</v>
      </c>
      <c r="F10" s="32">
        <f t="shared" si="4"/>
        <v>599.6</v>
      </c>
      <c r="G10" s="32">
        <f t="shared" si="4"/>
        <v>599.6</v>
      </c>
      <c r="H10" s="32">
        <f t="shared" si="4"/>
        <v>599.6</v>
      </c>
      <c r="I10" s="32">
        <f t="shared" si="4"/>
        <v>399.7333333</v>
      </c>
      <c r="J10" s="32">
        <f t="shared" si="4"/>
        <v>299.8</v>
      </c>
      <c r="K10" s="32">
        <f t="shared" si="4"/>
        <v>199.8666667</v>
      </c>
      <c r="L10" s="32">
        <f t="shared" si="4"/>
        <v>199.8666667</v>
      </c>
      <c r="M10" s="32">
        <f t="shared" si="4"/>
        <v>149.9</v>
      </c>
      <c r="N10" s="32">
        <f t="shared" si="4"/>
        <v>149.9</v>
      </c>
      <c r="O10" s="32">
        <f t="shared" si="4"/>
        <v>112.425</v>
      </c>
      <c r="P10" s="32">
        <f t="shared" si="4"/>
        <v>0</v>
      </c>
      <c r="Q10" s="32">
        <f t="shared" si="4"/>
        <v>0</v>
      </c>
      <c r="R10" s="32">
        <f t="shared" si="4"/>
        <v>0</v>
      </c>
    </row>
    <row r="11">
      <c r="A11" s="33"/>
      <c r="B11" s="29" t="s">
        <v>18</v>
      </c>
      <c r="C11" s="36">
        <v>0.0</v>
      </c>
      <c r="D11" s="32">
        <f t="shared" ref="D11:R11" si="5">C4*C6</f>
        <v>1764.3</v>
      </c>
      <c r="E11" s="32">
        <f t="shared" si="5"/>
        <v>4410.75</v>
      </c>
      <c r="F11" s="32">
        <f t="shared" si="5"/>
        <v>7057.2</v>
      </c>
      <c r="G11" s="32">
        <f t="shared" si="5"/>
        <v>10585.8</v>
      </c>
      <c r="H11" s="32">
        <f t="shared" si="5"/>
        <v>13232.25</v>
      </c>
      <c r="I11" s="32">
        <f t="shared" si="5"/>
        <v>17643</v>
      </c>
      <c r="J11" s="32">
        <f t="shared" si="5"/>
        <v>17643</v>
      </c>
      <c r="K11" s="32">
        <f t="shared" si="5"/>
        <v>17643</v>
      </c>
      <c r="L11" s="32">
        <f t="shared" si="5"/>
        <v>17643</v>
      </c>
      <c r="M11" s="32">
        <f t="shared" si="5"/>
        <v>17643</v>
      </c>
      <c r="N11" s="32">
        <f t="shared" si="5"/>
        <v>17643</v>
      </c>
      <c r="O11" s="32">
        <f t="shared" si="5"/>
        <v>17643</v>
      </c>
      <c r="P11" s="32">
        <f t="shared" si="5"/>
        <v>13232.25</v>
      </c>
      <c r="Q11" s="32">
        <f t="shared" si="5"/>
        <v>0</v>
      </c>
      <c r="R11" s="32">
        <f t="shared" si="5"/>
        <v>0</v>
      </c>
    </row>
    <row r="12">
      <c r="A12" s="33"/>
      <c r="B12" s="29" t="s">
        <v>19</v>
      </c>
      <c r="C12" s="36">
        <f t="shared" ref="C12:R12" si="6">C11-C9</f>
        <v>-5396.4</v>
      </c>
      <c r="D12" s="36">
        <f t="shared" si="6"/>
        <v>-11726.7</v>
      </c>
      <c r="E12" s="36">
        <f t="shared" si="6"/>
        <v>-13577.25</v>
      </c>
      <c r="F12" s="36">
        <f t="shared" si="6"/>
        <v>-10930.8</v>
      </c>
      <c r="G12" s="36">
        <f t="shared" si="6"/>
        <v>-7402.2</v>
      </c>
      <c r="H12" s="36">
        <f t="shared" si="6"/>
        <v>-4755.75</v>
      </c>
      <c r="I12" s="36">
        <f t="shared" si="6"/>
        <v>5651</v>
      </c>
      <c r="J12" s="36">
        <f t="shared" si="6"/>
        <v>8649</v>
      </c>
      <c r="K12" s="36">
        <f t="shared" si="6"/>
        <v>11647</v>
      </c>
      <c r="L12" s="36">
        <f t="shared" si="6"/>
        <v>11647</v>
      </c>
      <c r="M12" s="36">
        <f t="shared" si="6"/>
        <v>13146</v>
      </c>
      <c r="N12" s="36">
        <f t="shared" si="6"/>
        <v>13146</v>
      </c>
      <c r="O12" s="36">
        <f t="shared" si="6"/>
        <v>14270.25</v>
      </c>
      <c r="P12" s="36">
        <f t="shared" si="6"/>
        <v>13232.25</v>
      </c>
      <c r="Q12" s="36">
        <f t="shared" si="6"/>
        <v>0</v>
      </c>
      <c r="R12" s="36">
        <f t="shared" si="6"/>
        <v>0</v>
      </c>
    </row>
    <row r="13">
      <c r="A13" s="33"/>
      <c r="B13" s="29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</row>
    <row r="14">
      <c r="A14" s="33"/>
      <c r="B14" s="29" t="s">
        <v>20</v>
      </c>
      <c r="C14" s="36">
        <f>C12</f>
        <v>-5396.4</v>
      </c>
      <c r="D14" s="36">
        <f t="shared" ref="D14:R14" si="7">C14+D12</f>
        <v>-17123.1</v>
      </c>
      <c r="E14" s="36">
        <f t="shared" si="7"/>
        <v>-30700.35</v>
      </c>
      <c r="F14" s="36">
        <f t="shared" si="7"/>
        <v>-41631.15</v>
      </c>
      <c r="G14" s="36">
        <f t="shared" si="7"/>
        <v>-49033.35</v>
      </c>
      <c r="H14" s="36">
        <f t="shared" si="7"/>
        <v>-53789.1</v>
      </c>
      <c r="I14" s="36">
        <f t="shared" si="7"/>
        <v>-48138.1</v>
      </c>
      <c r="J14" s="36">
        <f t="shared" si="7"/>
        <v>-39489.1</v>
      </c>
      <c r="K14" s="36">
        <f t="shared" si="7"/>
        <v>-27842.1</v>
      </c>
      <c r="L14" s="36">
        <f t="shared" si="7"/>
        <v>-16195.1</v>
      </c>
      <c r="M14" s="36">
        <f t="shared" si="7"/>
        <v>-3049.1</v>
      </c>
      <c r="N14" s="36">
        <f t="shared" si="7"/>
        <v>10096.9</v>
      </c>
      <c r="O14" s="36">
        <f t="shared" si="7"/>
        <v>24367.15</v>
      </c>
      <c r="P14" s="36">
        <f t="shared" si="7"/>
        <v>37599.4</v>
      </c>
      <c r="Q14" s="36">
        <f t="shared" si="7"/>
        <v>37599.4</v>
      </c>
      <c r="R14" s="36">
        <f t="shared" si="7"/>
        <v>37599.4</v>
      </c>
    </row>
    <row r="15">
      <c r="A15" s="37"/>
      <c r="B15" s="34" t="s">
        <v>21</v>
      </c>
      <c r="C15" s="38">
        <v>19500.0</v>
      </c>
      <c r="D15" s="39">
        <f t="shared" ref="D15:R15" si="8">C15-D4</f>
        <v>19000</v>
      </c>
      <c r="E15" s="39">
        <f t="shared" si="8"/>
        <v>18200</v>
      </c>
      <c r="F15" s="39">
        <f t="shared" si="8"/>
        <v>17000</v>
      </c>
      <c r="G15" s="39">
        <f t="shared" si="8"/>
        <v>15500</v>
      </c>
      <c r="H15" s="39">
        <f t="shared" si="8"/>
        <v>13500</v>
      </c>
      <c r="I15" s="39">
        <f t="shared" si="8"/>
        <v>11500</v>
      </c>
      <c r="J15" s="39">
        <f t="shared" si="8"/>
        <v>9500</v>
      </c>
      <c r="K15" s="39">
        <f t="shared" si="8"/>
        <v>7500</v>
      </c>
      <c r="L15" s="39">
        <f t="shared" si="8"/>
        <v>5500</v>
      </c>
      <c r="M15" s="39">
        <f t="shared" si="8"/>
        <v>3500</v>
      </c>
      <c r="N15" s="39">
        <f t="shared" si="8"/>
        <v>1500</v>
      </c>
      <c r="O15" s="39">
        <f t="shared" si="8"/>
        <v>0</v>
      </c>
      <c r="P15" s="39">
        <f t="shared" si="8"/>
        <v>0</v>
      </c>
      <c r="Q15" s="39">
        <f t="shared" si="8"/>
        <v>0</v>
      </c>
      <c r="R15" s="39">
        <f t="shared" si="8"/>
        <v>0</v>
      </c>
    </row>
    <row r="16">
      <c r="F16" s="40"/>
    </row>
    <row r="17">
      <c r="A17" s="41"/>
      <c r="B17" s="18"/>
      <c r="C17" s="18"/>
      <c r="D17" s="18"/>
      <c r="E17" s="42" t="s">
        <v>22</v>
      </c>
      <c r="F17" s="43"/>
    </row>
    <row r="18">
      <c r="A18" s="44" t="s">
        <v>23</v>
      </c>
      <c r="B18" s="11" t="s">
        <v>24</v>
      </c>
      <c r="C18" s="11">
        <v>179.0</v>
      </c>
      <c r="D18" s="11">
        <v>386.0</v>
      </c>
      <c r="E18" s="11">
        <v>100.0</v>
      </c>
      <c r="F18" s="43"/>
    </row>
    <row r="19">
      <c r="B19" s="11" t="s">
        <v>13</v>
      </c>
      <c r="C19" s="31">
        <f t="shared" ref="C19:E19" si="9">C21/C18</f>
        <v>14.84620112</v>
      </c>
      <c r="D19" s="31">
        <f t="shared" si="9"/>
        <v>17.24303109</v>
      </c>
      <c r="E19" s="31">
        <f t="shared" si="9"/>
        <v>16.5636</v>
      </c>
      <c r="F19" s="43"/>
    </row>
    <row r="20">
      <c r="B20" s="11" t="s">
        <v>14</v>
      </c>
      <c r="C20" s="31"/>
      <c r="D20" s="31"/>
      <c r="E20" s="31"/>
      <c r="F20" s="43"/>
    </row>
    <row r="21">
      <c r="B21" s="11" t="s">
        <v>15</v>
      </c>
      <c r="C21" s="45">
        <v>2657.47</v>
      </c>
      <c r="D21" s="45">
        <v>6655.81</v>
      </c>
      <c r="E21" s="45">
        <v>1656.36</v>
      </c>
      <c r="F21" s="43"/>
    </row>
    <row r="22">
      <c r="B22" s="46" t="s">
        <v>8</v>
      </c>
      <c r="C22" s="35">
        <f t="shared" ref="C22:E22" si="10">C23/C21</f>
        <v>2.343465778</v>
      </c>
      <c r="D22" s="35">
        <f t="shared" si="10"/>
        <v>1.362848399</v>
      </c>
      <c r="E22" s="35">
        <f t="shared" si="10"/>
        <v>1.681977348</v>
      </c>
      <c r="F22" s="43"/>
    </row>
    <row r="23">
      <c r="B23" s="11" t="s">
        <v>16</v>
      </c>
      <c r="C23" s="45">
        <v>6227.69</v>
      </c>
      <c r="D23" s="45">
        <v>9070.86</v>
      </c>
      <c r="E23" s="31">
        <v>2785.96</v>
      </c>
      <c r="F23" s="43"/>
    </row>
    <row r="24">
      <c r="B24" s="11" t="s">
        <v>25</v>
      </c>
      <c r="C24" s="32">
        <f>C23/31</f>
        <v>200.8932258</v>
      </c>
      <c r="D24" s="32">
        <f>D23/28</f>
        <v>323.9592857</v>
      </c>
      <c r="E24" s="32">
        <f>E23/7</f>
        <v>397.9942857</v>
      </c>
      <c r="F24" s="43"/>
    </row>
    <row r="25">
      <c r="B25" s="11" t="s">
        <v>18</v>
      </c>
      <c r="C25" s="36"/>
      <c r="D25" s="32"/>
      <c r="E25" s="32"/>
      <c r="F25" s="43"/>
    </row>
    <row r="26">
      <c r="B26" s="11" t="s">
        <v>19</v>
      </c>
      <c r="C26" s="36"/>
      <c r="D26" s="36"/>
      <c r="E26" s="36"/>
      <c r="F26" s="43"/>
    </row>
    <row r="27">
      <c r="B27" s="11"/>
      <c r="C27" s="36"/>
      <c r="D27" s="36"/>
      <c r="E27" s="36"/>
      <c r="F27" s="43"/>
    </row>
    <row r="28">
      <c r="B28" s="11" t="s">
        <v>20</v>
      </c>
      <c r="C28" s="36"/>
      <c r="D28" s="36"/>
      <c r="E28" s="36"/>
      <c r="F28" s="43"/>
    </row>
    <row r="29">
      <c r="B29" s="46" t="s">
        <v>21</v>
      </c>
      <c r="C29" s="47"/>
      <c r="D29" s="47">
        <v>19227.0</v>
      </c>
      <c r="E29" s="47">
        <f>D29-E18</f>
        <v>19127</v>
      </c>
      <c r="F29" s="43"/>
    </row>
    <row r="30">
      <c r="B30" s="48" t="s">
        <v>5</v>
      </c>
      <c r="E30" s="49">
        <f>E18/7*31</f>
        <v>442.8571429</v>
      </c>
      <c r="F30" s="43"/>
    </row>
    <row r="31">
      <c r="B31" s="48" t="s">
        <v>26</v>
      </c>
      <c r="C31" s="50">
        <f t="shared" ref="C31:D31" si="11">C18/C4</f>
        <v>0.895</v>
      </c>
      <c r="D31" s="50">
        <f t="shared" si="11"/>
        <v>0.772</v>
      </c>
      <c r="E31" s="50">
        <f>E30/E4</f>
        <v>0.5535714286</v>
      </c>
      <c r="F31" s="43"/>
    </row>
    <row r="32">
      <c r="E32" s="43" t="s">
        <v>27</v>
      </c>
      <c r="F32" s="43" t="s">
        <v>28</v>
      </c>
    </row>
    <row r="34">
      <c r="D34" s="41" t="s">
        <v>29</v>
      </c>
      <c r="H34" s="41" t="s">
        <v>6</v>
      </c>
      <c r="I34" s="41" t="s">
        <v>30</v>
      </c>
      <c r="J34" s="41" t="s">
        <v>31</v>
      </c>
    </row>
    <row r="35">
      <c r="H35" s="51">
        <v>19.99</v>
      </c>
      <c r="I35" s="52">
        <v>0.4</v>
      </c>
      <c r="J35" s="52">
        <v>0.05</v>
      </c>
    </row>
    <row r="36">
      <c r="D36" s="41" t="s">
        <v>32</v>
      </c>
      <c r="H36" s="41" t="s">
        <v>33</v>
      </c>
      <c r="I36" s="53" t="s">
        <v>34</v>
      </c>
    </row>
    <row r="37">
      <c r="H37" s="51">
        <v>14.99</v>
      </c>
      <c r="I37" s="54">
        <v>5.0</v>
      </c>
    </row>
    <row r="38">
      <c r="D38" s="41" t="s">
        <v>35</v>
      </c>
    </row>
    <row r="40">
      <c r="D40" s="41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">
        <v>37</v>
      </c>
      <c r="B1" s="56">
        <v>46044.0</v>
      </c>
      <c r="C1" s="56">
        <v>46045.0</v>
      </c>
      <c r="D1" s="56">
        <v>46046.0</v>
      </c>
      <c r="E1" s="56">
        <v>46047.0</v>
      </c>
      <c r="F1" s="56">
        <v>46048.0</v>
      </c>
      <c r="G1" s="56">
        <v>46049.0</v>
      </c>
      <c r="H1" s="56">
        <v>46050.0</v>
      </c>
      <c r="I1" s="56">
        <v>46051.0</v>
      </c>
      <c r="J1" s="56">
        <v>46052.0</v>
      </c>
      <c r="K1" s="56">
        <v>46053.0</v>
      </c>
      <c r="L1" s="41" t="s">
        <v>38</v>
      </c>
      <c r="M1" s="41" t="s">
        <v>39</v>
      </c>
    </row>
    <row r="2">
      <c r="A2" s="41" t="s">
        <v>40</v>
      </c>
      <c r="C2" s="41">
        <v>140.0</v>
      </c>
      <c r="G2" s="41">
        <v>10000.0</v>
      </c>
    </row>
    <row r="3">
      <c r="A3" s="41" t="s">
        <v>41</v>
      </c>
      <c r="B3" s="41">
        <v>350.0</v>
      </c>
      <c r="C3" s="57">
        <f t="shared" ref="C3:G3" si="1">B3+C2-(C4+C5)</f>
        <v>384</v>
      </c>
      <c r="D3" s="57">
        <f t="shared" si="1"/>
        <v>278</v>
      </c>
      <c r="E3" s="57">
        <f t="shared" si="1"/>
        <v>172</v>
      </c>
      <c r="F3" s="57">
        <f t="shared" si="1"/>
        <v>66</v>
      </c>
      <c r="G3" s="57">
        <f t="shared" si="1"/>
        <v>10066</v>
      </c>
    </row>
    <row r="4">
      <c r="A4" s="41" t="s">
        <v>42</v>
      </c>
      <c r="B4" s="41">
        <v>26.0</v>
      </c>
      <c r="C4" s="41">
        <v>26.0</v>
      </c>
      <c r="D4" s="41">
        <v>26.0</v>
      </c>
      <c r="E4" s="41">
        <v>26.0</v>
      </c>
      <c r="F4" s="41">
        <v>26.0</v>
      </c>
    </row>
    <row r="5">
      <c r="A5" s="41" t="s">
        <v>43</v>
      </c>
      <c r="B5" s="41">
        <v>80.0</v>
      </c>
      <c r="C5" s="41">
        <v>80.0</v>
      </c>
      <c r="D5" s="41">
        <v>80.0</v>
      </c>
      <c r="E5" s="41">
        <v>80.0</v>
      </c>
      <c r="F5" s="41">
        <v>80.0</v>
      </c>
    </row>
    <row r="6">
      <c r="A6" s="41" t="s">
        <v>44</v>
      </c>
      <c r="B6" s="58">
        <v>9000.0</v>
      </c>
      <c r="C6" s="58">
        <v>9000.0</v>
      </c>
      <c r="D6" s="58">
        <v>9000.0</v>
      </c>
      <c r="E6" s="58">
        <v>9000.0</v>
      </c>
      <c r="F6" s="58">
        <v>9000.0</v>
      </c>
      <c r="G6" s="58">
        <v>9000.0</v>
      </c>
      <c r="H6" s="58">
        <v>9000.0</v>
      </c>
      <c r="I6" s="58">
        <v>9000.0</v>
      </c>
      <c r="J6" s="58">
        <v>9000.0</v>
      </c>
      <c r="K6" s="58">
        <v>9000.0</v>
      </c>
      <c r="L6" s="58">
        <v>9000.0</v>
      </c>
      <c r="M6" s="58">
        <v>9000.0</v>
      </c>
    </row>
    <row r="7">
      <c r="A7" s="41" t="s">
        <v>45</v>
      </c>
      <c r="B7" s="59">
        <f t="shared" ref="B7:F7" si="2">B6*B5</f>
        <v>720000</v>
      </c>
      <c r="C7" s="59">
        <f t="shared" si="2"/>
        <v>720000</v>
      </c>
      <c r="D7" s="59">
        <f t="shared" si="2"/>
        <v>720000</v>
      </c>
      <c r="E7" s="59">
        <f t="shared" si="2"/>
        <v>720000</v>
      </c>
      <c r="F7" s="59">
        <f t="shared" si="2"/>
        <v>720000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5" max="5" width="17.5"/>
    <col customWidth="1" min="7" max="7" width="22.88"/>
  </cols>
  <sheetData>
    <row r="1">
      <c r="A1" s="60"/>
      <c r="B1" s="61" t="s">
        <v>33</v>
      </c>
      <c r="C1" s="61" t="s">
        <v>46</v>
      </c>
      <c r="D1" s="61" t="s">
        <v>47</v>
      </c>
      <c r="E1" s="62" t="s">
        <v>48</v>
      </c>
      <c r="F1" s="61" t="s">
        <v>49</v>
      </c>
      <c r="G1" s="63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>
      <c r="A2" s="65" t="s">
        <v>50</v>
      </c>
      <c r="B2" s="66">
        <v>17.99</v>
      </c>
      <c r="C2" s="67">
        <v>0.2</v>
      </c>
      <c r="D2" s="67">
        <v>0.05</v>
      </c>
      <c r="E2" s="68"/>
      <c r="F2" s="69">
        <f t="shared" ref="F2:F5" si="1">B2*(1-C2)*(1-D2)*(1-E2)</f>
        <v>13.6724</v>
      </c>
      <c r="G2" s="63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>
      <c r="A3" s="70" t="s">
        <v>51</v>
      </c>
      <c r="B3" s="66">
        <v>16.99</v>
      </c>
      <c r="C3" s="68"/>
      <c r="D3" s="67">
        <v>0.05</v>
      </c>
      <c r="E3" s="67">
        <v>0.3</v>
      </c>
      <c r="F3" s="69">
        <f t="shared" si="1"/>
        <v>11.29835</v>
      </c>
      <c r="G3" s="71" t="s">
        <v>52</v>
      </c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>
      <c r="A4" s="65" t="s">
        <v>53</v>
      </c>
      <c r="B4" s="66">
        <v>15.99</v>
      </c>
      <c r="C4" s="67">
        <v>0.1</v>
      </c>
      <c r="D4" s="67">
        <v>0.05</v>
      </c>
      <c r="E4" s="68"/>
      <c r="F4" s="69">
        <f t="shared" si="1"/>
        <v>13.67145</v>
      </c>
      <c r="G4" s="63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>
      <c r="A5" s="65" t="s">
        <v>54</v>
      </c>
      <c r="B5" s="66">
        <v>14.99</v>
      </c>
      <c r="C5" s="67">
        <v>0.05</v>
      </c>
      <c r="D5" s="67">
        <v>0.05</v>
      </c>
      <c r="E5" s="68"/>
      <c r="F5" s="69">
        <f t="shared" si="1"/>
        <v>13.528475</v>
      </c>
      <c r="G5" s="63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/>
      <c r="B1" s="8"/>
      <c r="C1" s="72">
        <v>45139.0</v>
      </c>
      <c r="D1" s="72">
        <v>45170.0</v>
      </c>
      <c r="E1" s="72">
        <v>45200.0</v>
      </c>
      <c r="F1" s="72">
        <v>45231.0</v>
      </c>
      <c r="G1" s="72">
        <v>45261.0</v>
      </c>
      <c r="H1" s="3">
        <v>45292.0</v>
      </c>
      <c r="I1" s="3">
        <v>45323.0</v>
      </c>
      <c r="J1" s="3">
        <v>45352.0</v>
      </c>
      <c r="K1" s="3">
        <v>45383.0</v>
      </c>
      <c r="L1" s="3">
        <v>45413.0</v>
      </c>
      <c r="M1" s="3">
        <v>45444.0</v>
      </c>
      <c r="N1" s="3">
        <v>45474.0</v>
      </c>
      <c r="O1" s="3">
        <v>45505.0</v>
      </c>
      <c r="P1" s="3">
        <v>45536.0</v>
      </c>
      <c r="Q1" s="3">
        <v>45566.0</v>
      </c>
      <c r="R1" s="3">
        <v>45597.0</v>
      </c>
      <c r="S1" s="3">
        <v>45627.0</v>
      </c>
    </row>
    <row r="2">
      <c r="C2" s="44" t="s">
        <v>55</v>
      </c>
      <c r="D2" s="41" t="s">
        <v>56</v>
      </c>
      <c r="E2" s="44" t="s">
        <v>57</v>
      </c>
    </row>
    <row r="3">
      <c r="A3" s="9" t="s">
        <v>58</v>
      </c>
      <c r="B3" s="11" t="s">
        <v>5</v>
      </c>
      <c r="C3" s="11">
        <v>350.0</v>
      </c>
      <c r="D3" s="73">
        <v>350.0</v>
      </c>
      <c r="E3" s="74">
        <v>250.0</v>
      </c>
      <c r="F3" s="11">
        <v>800.0</v>
      </c>
      <c r="G3" s="11">
        <v>800.0</v>
      </c>
      <c r="H3" s="11">
        <v>800.0</v>
      </c>
      <c r="I3" s="11">
        <v>1000.0</v>
      </c>
      <c r="J3" s="11">
        <v>1500.0</v>
      </c>
      <c r="K3" s="11">
        <v>1500.0</v>
      </c>
      <c r="L3" s="11">
        <v>2000.0</v>
      </c>
      <c r="M3" s="11">
        <v>2000.0</v>
      </c>
      <c r="N3" s="11">
        <v>2500.0</v>
      </c>
      <c r="O3" s="11">
        <v>2500.0</v>
      </c>
      <c r="P3" s="11">
        <v>2000.0</v>
      </c>
      <c r="Q3" s="11">
        <v>1500.0</v>
      </c>
      <c r="R3" s="11">
        <v>1200.0</v>
      </c>
      <c r="S3" s="11">
        <v>1200.0</v>
      </c>
    </row>
    <row r="4">
      <c r="A4" s="12" t="s">
        <v>6</v>
      </c>
      <c r="B4" s="13" t="s">
        <v>7</v>
      </c>
      <c r="C4" s="14">
        <f t="shared" ref="C4:S4" si="1">C3*$A5</f>
        <v>7346.5</v>
      </c>
      <c r="D4" s="75">
        <f t="shared" si="1"/>
        <v>7346.5</v>
      </c>
      <c r="E4" s="76">
        <f t="shared" si="1"/>
        <v>5247.5</v>
      </c>
      <c r="F4" s="14">
        <f t="shared" si="1"/>
        <v>16792</v>
      </c>
      <c r="G4" s="14">
        <f t="shared" si="1"/>
        <v>16792</v>
      </c>
      <c r="H4" s="14">
        <f t="shared" si="1"/>
        <v>16792</v>
      </c>
      <c r="I4" s="14">
        <f t="shared" si="1"/>
        <v>20990</v>
      </c>
      <c r="J4" s="14">
        <f t="shared" si="1"/>
        <v>31485</v>
      </c>
      <c r="K4" s="14">
        <f t="shared" si="1"/>
        <v>31485</v>
      </c>
      <c r="L4" s="14">
        <f t="shared" si="1"/>
        <v>41980</v>
      </c>
      <c r="M4" s="14">
        <f t="shared" si="1"/>
        <v>41980</v>
      </c>
      <c r="N4" s="14">
        <f t="shared" si="1"/>
        <v>52475</v>
      </c>
      <c r="O4" s="14">
        <f t="shared" si="1"/>
        <v>52475</v>
      </c>
      <c r="P4" s="14">
        <f t="shared" si="1"/>
        <v>41980</v>
      </c>
      <c r="Q4" s="14">
        <f t="shared" si="1"/>
        <v>31485</v>
      </c>
      <c r="R4" s="14">
        <f t="shared" si="1"/>
        <v>25188</v>
      </c>
      <c r="S4" s="14">
        <f t="shared" si="1"/>
        <v>25188</v>
      </c>
    </row>
    <row r="5">
      <c r="A5" s="15">
        <v>20.99</v>
      </c>
      <c r="B5" s="13" t="s">
        <v>8</v>
      </c>
      <c r="C5" s="16">
        <v>1.5</v>
      </c>
      <c r="D5" s="77">
        <v>1.3</v>
      </c>
      <c r="E5" s="78">
        <v>1.5</v>
      </c>
      <c r="F5" s="16">
        <v>1.3</v>
      </c>
      <c r="G5" s="16">
        <v>1.0</v>
      </c>
      <c r="H5" s="16">
        <v>0.6</v>
      </c>
      <c r="I5" s="16">
        <v>0.5</v>
      </c>
      <c r="J5" s="16">
        <v>0.4</v>
      </c>
      <c r="K5" s="16">
        <v>0.3</v>
      </c>
      <c r="L5" s="16">
        <v>0.3</v>
      </c>
      <c r="M5" s="16">
        <v>0.15</v>
      </c>
      <c r="N5" s="16">
        <v>0.15</v>
      </c>
      <c r="O5" s="16">
        <v>0.15</v>
      </c>
      <c r="P5" s="16">
        <v>0.1</v>
      </c>
      <c r="Q5" s="16">
        <v>0.1</v>
      </c>
      <c r="R5" s="16">
        <v>0.1</v>
      </c>
      <c r="S5" s="16">
        <v>0.1</v>
      </c>
    </row>
    <row r="6">
      <c r="A6" s="79" t="s">
        <v>59</v>
      </c>
      <c r="B6" s="13" t="s">
        <v>9</v>
      </c>
      <c r="C6" s="14">
        <f t="shared" ref="C6:S6" si="2">C4*C5</f>
        <v>11019.75</v>
      </c>
      <c r="D6" s="75">
        <f t="shared" si="2"/>
        <v>9550.45</v>
      </c>
      <c r="E6" s="76">
        <f t="shared" si="2"/>
        <v>7871.25</v>
      </c>
      <c r="F6" s="14">
        <f t="shared" si="2"/>
        <v>21829.6</v>
      </c>
      <c r="G6" s="14">
        <f t="shared" si="2"/>
        <v>16792</v>
      </c>
      <c r="H6" s="14">
        <f t="shared" si="2"/>
        <v>10075.2</v>
      </c>
      <c r="I6" s="14">
        <f t="shared" si="2"/>
        <v>10495</v>
      </c>
      <c r="J6" s="14">
        <f t="shared" si="2"/>
        <v>12594</v>
      </c>
      <c r="K6" s="14">
        <f t="shared" si="2"/>
        <v>9445.5</v>
      </c>
      <c r="L6" s="14">
        <f t="shared" si="2"/>
        <v>12594</v>
      </c>
      <c r="M6" s="14">
        <f t="shared" si="2"/>
        <v>6297</v>
      </c>
      <c r="N6" s="14">
        <f t="shared" si="2"/>
        <v>7871.25</v>
      </c>
      <c r="O6" s="14">
        <f t="shared" si="2"/>
        <v>7871.25</v>
      </c>
      <c r="P6" s="14">
        <f t="shared" si="2"/>
        <v>4198</v>
      </c>
      <c r="Q6" s="14">
        <f t="shared" si="2"/>
        <v>3148.5</v>
      </c>
      <c r="R6" s="14">
        <f t="shared" si="2"/>
        <v>2518.8</v>
      </c>
      <c r="S6" s="14">
        <f t="shared" si="2"/>
        <v>2518.8</v>
      </c>
    </row>
    <row r="7">
      <c r="A7" s="80" t="s">
        <v>60</v>
      </c>
      <c r="B7" s="81"/>
      <c r="C7" s="81"/>
      <c r="D7" s="82">
        <v>45170.0</v>
      </c>
      <c r="E7" s="83"/>
      <c r="F7" s="84">
        <v>45240.0</v>
      </c>
      <c r="G7" s="81"/>
      <c r="H7" s="84">
        <v>44936.0</v>
      </c>
      <c r="I7" s="81"/>
      <c r="J7" s="84">
        <v>45010.0</v>
      </c>
      <c r="K7" s="81"/>
      <c r="L7" s="81"/>
      <c r="M7" s="84">
        <v>45087.0</v>
      </c>
      <c r="N7" s="81"/>
      <c r="O7" s="84">
        <v>45163.0</v>
      </c>
      <c r="P7" s="81"/>
      <c r="Q7" s="84">
        <v>45209.0</v>
      </c>
      <c r="R7" s="81"/>
      <c r="S7" s="81"/>
    </row>
    <row r="8">
      <c r="A8" s="38" t="s">
        <v>61</v>
      </c>
      <c r="B8" s="39"/>
      <c r="C8" s="39"/>
      <c r="D8" s="85">
        <v>2000.0</v>
      </c>
      <c r="E8" s="86"/>
      <c r="F8" s="38">
        <v>2500.0</v>
      </c>
      <c r="G8" s="39"/>
      <c r="H8" s="38">
        <v>4000.0</v>
      </c>
      <c r="I8" s="39"/>
      <c r="J8" s="38">
        <v>6000.0</v>
      </c>
      <c r="K8" s="39"/>
      <c r="L8" s="39"/>
      <c r="M8" s="38">
        <v>4500.0</v>
      </c>
      <c r="N8" s="39"/>
      <c r="O8" s="38">
        <v>3000.0</v>
      </c>
      <c r="P8" s="39"/>
      <c r="Q8" s="39"/>
      <c r="R8" s="39"/>
      <c r="S8" s="39"/>
    </row>
    <row r="9">
      <c r="A9" s="80" t="s">
        <v>62</v>
      </c>
      <c r="B9" s="81"/>
      <c r="C9" s="81"/>
      <c r="D9" s="87"/>
      <c r="E9" s="88">
        <v>45219.0</v>
      </c>
      <c r="F9" s="81"/>
      <c r="G9" s="84">
        <v>45291.0</v>
      </c>
      <c r="H9" s="81"/>
      <c r="I9" s="81"/>
      <c r="J9" s="84">
        <v>44986.0</v>
      </c>
      <c r="K9" s="81"/>
      <c r="L9" s="84">
        <v>45061.0</v>
      </c>
      <c r="M9" s="81"/>
      <c r="N9" s="81"/>
      <c r="O9" s="84">
        <v>45139.0</v>
      </c>
      <c r="P9" s="81"/>
      <c r="Q9" s="84">
        <v>45214.0</v>
      </c>
      <c r="R9" s="81"/>
      <c r="S9" s="84">
        <v>45291.0</v>
      </c>
    </row>
    <row r="10">
      <c r="A10" s="38" t="s">
        <v>63</v>
      </c>
      <c r="B10" s="39"/>
      <c r="C10" s="39"/>
      <c r="D10" s="89"/>
      <c r="E10" s="90">
        <v>2000.0</v>
      </c>
      <c r="F10" s="39"/>
      <c r="G10" s="38">
        <v>2500.0</v>
      </c>
      <c r="H10" s="39"/>
      <c r="I10" s="39"/>
      <c r="J10" s="38">
        <v>4000.0</v>
      </c>
      <c r="K10" s="39"/>
      <c r="L10" s="38">
        <v>6000.0</v>
      </c>
      <c r="M10" s="39"/>
      <c r="N10" s="39"/>
      <c r="O10" s="38">
        <v>4500.0</v>
      </c>
      <c r="P10" s="39"/>
      <c r="Q10" s="38">
        <v>3000.0</v>
      </c>
      <c r="R10" s="39"/>
      <c r="S10" s="39"/>
    </row>
    <row r="11">
      <c r="A11" s="38" t="s">
        <v>21</v>
      </c>
      <c r="B11" s="39"/>
      <c r="C11" s="39"/>
      <c r="D11" s="85">
        <v>0.0</v>
      </c>
      <c r="E11" s="86">
        <f t="shared" ref="E11:S11" si="3">D11+E10-E3</f>
        <v>1750</v>
      </c>
      <c r="F11" s="39">
        <f t="shared" si="3"/>
        <v>950</v>
      </c>
      <c r="G11" s="39">
        <f t="shared" si="3"/>
        <v>2650</v>
      </c>
      <c r="H11" s="39">
        <f t="shared" si="3"/>
        <v>1850</v>
      </c>
      <c r="I11" s="39">
        <f t="shared" si="3"/>
        <v>850</v>
      </c>
      <c r="J11" s="39">
        <f t="shared" si="3"/>
        <v>3350</v>
      </c>
      <c r="K11" s="39">
        <f t="shared" si="3"/>
        <v>1850</v>
      </c>
      <c r="L11" s="39">
        <f t="shared" si="3"/>
        <v>5850</v>
      </c>
      <c r="M11" s="39">
        <f t="shared" si="3"/>
        <v>3850</v>
      </c>
      <c r="N11" s="39">
        <f t="shared" si="3"/>
        <v>1350</v>
      </c>
      <c r="O11" s="39">
        <f t="shared" si="3"/>
        <v>3350</v>
      </c>
      <c r="P11" s="39">
        <f t="shared" si="3"/>
        <v>1350</v>
      </c>
      <c r="Q11" s="39">
        <f t="shared" si="3"/>
        <v>2850</v>
      </c>
      <c r="R11" s="39">
        <f t="shared" si="3"/>
        <v>1650</v>
      </c>
      <c r="S11" s="39">
        <f t="shared" si="3"/>
        <v>450</v>
      </c>
    </row>
    <row r="12">
      <c r="B12" s="41" t="s">
        <v>64</v>
      </c>
    </row>
    <row r="13">
      <c r="B13" s="41" t="s">
        <v>65</v>
      </c>
    </row>
  </sheetData>
  <drawing r:id="rId1"/>
</worksheet>
</file>