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shiang\Desktop\Client Service\2024\大研\"/>
    </mc:Choice>
  </mc:AlternateContent>
  <xr:revisionPtr revIDLastSave="0" documentId="13_ncr:1_{CE02C550-7C8E-40F4-B4AE-4B4429D9FF6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PUTS - START HERE" sheetId="10" r:id="rId1"/>
    <sheet name="DAA Media Plan" sheetId="3" r:id="rId2"/>
    <sheet name="DAA Program Threshold" sheetId="9" state="hidden" r:id="rId3"/>
    <sheet name="Pivot Data" sheetId="6" state="hidden" r:id="rId4"/>
  </sheets>
  <calcPr calcId="191029"/>
  <pivotCaches>
    <pivotCache cacheId="8" r:id="rId5"/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0" l="1"/>
  <c r="R4" i="3"/>
  <c r="R5" i="3"/>
  <c r="R6" i="3"/>
  <c r="F9" i="3"/>
  <c r="F8" i="3"/>
  <c r="B14" i="10"/>
  <c r="Q19" i="3"/>
  <c r="P19" i="3"/>
  <c r="O19" i="3"/>
  <c r="N19" i="3"/>
  <c r="M19" i="3"/>
  <c r="L19" i="3"/>
  <c r="K19" i="3"/>
  <c r="J19" i="3"/>
  <c r="I19" i="3"/>
  <c r="H19" i="3"/>
  <c r="G19" i="3"/>
  <c r="F19" i="3"/>
  <c r="Q18" i="3"/>
  <c r="P18" i="3"/>
  <c r="O18" i="3"/>
  <c r="N18" i="3"/>
  <c r="M18" i="3"/>
  <c r="L18" i="3"/>
  <c r="K18" i="3"/>
  <c r="J18" i="3"/>
  <c r="I18" i="3"/>
  <c r="H18" i="3"/>
  <c r="G18" i="3"/>
  <c r="F18" i="3"/>
  <c r="Q17" i="3"/>
  <c r="P17" i="3"/>
  <c r="O17" i="3"/>
  <c r="N17" i="3"/>
  <c r="M17" i="3"/>
  <c r="L17" i="3"/>
  <c r="K17" i="3"/>
  <c r="J17" i="3"/>
  <c r="I17" i="3"/>
  <c r="H17" i="3"/>
  <c r="G17" i="3"/>
  <c r="F17" i="3"/>
  <c r="Q16" i="3"/>
  <c r="P16" i="3"/>
  <c r="O16" i="3"/>
  <c r="N16" i="3"/>
  <c r="M16" i="3"/>
  <c r="L16" i="3"/>
  <c r="K16" i="3"/>
  <c r="J16" i="3"/>
  <c r="I16" i="3"/>
  <c r="H16" i="3"/>
  <c r="G16" i="3"/>
  <c r="F16" i="3"/>
  <c r="Q15" i="3"/>
  <c r="P15" i="3"/>
  <c r="O15" i="3"/>
  <c r="N15" i="3"/>
  <c r="M15" i="3"/>
  <c r="L15" i="3"/>
  <c r="K15" i="3"/>
  <c r="J15" i="3"/>
  <c r="I15" i="3"/>
  <c r="H15" i="3"/>
  <c r="G15" i="3"/>
  <c r="F15" i="3"/>
  <c r="Q14" i="3"/>
  <c r="P14" i="3"/>
  <c r="O14" i="3"/>
  <c r="N14" i="3"/>
  <c r="M14" i="3"/>
  <c r="L14" i="3"/>
  <c r="K14" i="3"/>
  <c r="J14" i="3"/>
  <c r="I14" i="3"/>
  <c r="H14" i="3"/>
  <c r="G14" i="3"/>
  <c r="F14" i="3"/>
  <c r="Q13" i="3"/>
  <c r="P13" i="3"/>
  <c r="O13" i="3"/>
  <c r="N13" i="3"/>
  <c r="M13" i="3"/>
  <c r="L13" i="3"/>
  <c r="K13" i="3"/>
  <c r="J13" i="3"/>
  <c r="I13" i="3"/>
  <c r="H13" i="3"/>
  <c r="G13" i="3"/>
  <c r="F13" i="3"/>
  <c r="Q12" i="3"/>
  <c r="P12" i="3"/>
  <c r="O12" i="3"/>
  <c r="N12" i="3"/>
  <c r="M12" i="3"/>
  <c r="L12" i="3"/>
  <c r="K12" i="3"/>
  <c r="J12" i="3"/>
  <c r="I12" i="3"/>
  <c r="H12" i="3"/>
  <c r="G12" i="3"/>
  <c r="F12" i="3"/>
  <c r="Q11" i="3"/>
  <c r="P11" i="3"/>
  <c r="O11" i="3"/>
  <c r="N11" i="3"/>
  <c r="M11" i="3"/>
  <c r="L11" i="3"/>
  <c r="K11" i="3"/>
  <c r="J11" i="3"/>
  <c r="I11" i="3"/>
  <c r="H11" i="3"/>
  <c r="G11" i="3"/>
  <c r="F11" i="3"/>
  <c r="Q10" i="3"/>
  <c r="P10" i="3"/>
  <c r="O10" i="3"/>
  <c r="N10" i="3"/>
  <c r="M10" i="3"/>
  <c r="L10" i="3"/>
  <c r="K10" i="3"/>
  <c r="J10" i="3"/>
  <c r="I10" i="3"/>
  <c r="H10" i="3"/>
  <c r="G10" i="3"/>
  <c r="F10" i="3"/>
  <c r="Q9" i="3"/>
  <c r="P9" i="3"/>
  <c r="O9" i="3"/>
  <c r="N9" i="3"/>
  <c r="M9" i="3"/>
  <c r="L9" i="3"/>
  <c r="K9" i="3"/>
  <c r="J9" i="3"/>
  <c r="I9" i="3"/>
  <c r="H9" i="3"/>
  <c r="G9" i="3"/>
  <c r="Q8" i="3"/>
  <c r="P8" i="3"/>
  <c r="O8" i="3"/>
  <c r="N8" i="3"/>
  <c r="M8" i="3"/>
  <c r="L8" i="3"/>
  <c r="K8" i="3"/>
  <c r="J8" i="3"/>
  <c r="I8" i="3"/>
  <c r="H8" i="3"/>
  <c r="G8" i="3"/>
  <c r="Q21" i="3" l="1"/>
  <c r="F21" i="3"/>
  <c r="M21" i="3"/>
  <c r="K21" i="3"/>
  <c r="L21" i="3"/>
  <c r="P21" i="3"/>
  <c r="G21" i="3"/>
  <c r="H21" i="3"/>
  <c r="I21" i="3"/>
  <c r="J21" i="3"/>
  <c r="N21" i="3"/>
  <c r="O21" i="3"/>
  <c r="G20" i="3"/>
  <c r="I20" i="3"/>
  <c r="J20" i="3"/>
  <c r="K20" i="3"/>
  <c r="L20" i="3"/>
  <c r="M20" i="3"/>
  <c r="N20" i="3"/>
  <c r="O20" i="3"/>
  <c r="P20" i="3"/>
  <c r="Q20" i="3"/>
  <c r="F20" i="3"/>
  <c r="R10" i="3"/>
  <c r="R9" i="3"/>
  <c r="R11" i="3"/>
  <c r="R13" i="3"/>
  <c r="R14" i="3"/>
  <c r="R15" i="3"/>
  <c r="R16" i="3"/>
  <c r="R18" i="3"/>
  <c r="R19" i="3"/>
  <c r="R12" i="3"/>
  <c r="R17" i="3"/>
  <c r="R8" i="3"/>
  <c r="R21" i="3" l="1"/>
  <c r="R7" i="3"/>
  <c r="R20" i="3" s="1"/>
  <c r="H20" i="3"/>
  <c r="B11" i="10"/>
  <c r="B7" i="10"/>
  <c r="B16" i="10" l="1"/>
</calcChain>
</file>

<file path=xl/sharedStrings.xml><?xml version="1.0" encoding="utf-8"?>
<sst xmlns="http://schemas.openxmlformats.org/spreadsheetml/2006/main" count="155" uniqueCount="72">
  <si>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</si>
  <si>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</si>
  <si>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</si>
  <si>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</si>
  <si>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</si>
  <si>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</si>
  <si>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</si>
  <si>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</si>
  <si>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</si>
  <si>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</si>
  <si>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</si>
  <si>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</si>
  <si>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</si>
  <si>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Funnel Stage</t>
  </si>
  <si>
    <t>Total</t>
  </si>
  <si>
    <t>Ad Product</t>
  </si>
  <si>
    <t>Tactic</t>
  </si>
  <si>
    <t xml:space="preserve">Awareness </t>
  </si>
  <si>
    <t xml:space="preserve">Consideration </t>
  </si>
  <si>
    <t>SD</t>
  </si>
  <si>
    <t>SB</t>
  </si>
  <si>
    <t xml:space="preserve">STV </t>
  </si>
  <si>
    <t>SP</t>
  </si>
  <si>
    <t xml:space="preserve">Keyword </t>
  </si>
  <si>
    <t xml:space="preserve"> Product </t>
  </si>
  <si>
    <t xml:space="preserve">Remarketing </t>
  </si>
  <si>
    <t>SD Video</t>
  </si>
  <si>
    <t>SB Video</t>
  </si>
  <si>
    <t xml:space="preserve">Custom Image </t>
  </si>
  <si>
    <t>Prime Day</t>
  </si>
  <si>
    <t xml:space="preserve">Prime Day Lead Up </t>
  </si>
  <si>
    <t>BFCM</t>
  </si>
  <si>
    <t xml:space="preserve">Holiday </t>
  </si>
  <si>
    <t xml:space="preserve">Mother's Day </t>
  </si>
  <si>
    <t>Valentine's Day</t>
  </si>
  <si>
    <t>New Year New You</t>
  </si>
  <si>
    <t>Sum of Total</t>
  </si>
  <si>
    <t>Row Labels</t>
  </si>
  <si>
    <t>Grand Total</t>
  </si>
  <si>
    <t>SD vCPM</t>
  </si>
  <si>
    <t>SB Store Spotlight</t>
  </si>
  <si>
    <t>SD Audiences</t>
  </si>
  <si>
    <t>DSP-SS</t>
  </si>
  <si>
    <t xml:space="preserve">Twtich </t>
  </si>
  <si>
    <t xml:space="preserve">Streaming TV </t>
  </si>
  <si>
    <t>Product Pick Values</t>
  </si>
  <si>
    <t>To Add: Regional DAA Thresholds and % Growth Rates &amp; Benefits Grid</t>
  </si>
  <si>
    <t>Back to School</t>
  </si>
  <si>
    <t>Father's Day</t>
  </si>
  <si>
    <t xml:space="preserve">Fill out with seasonal or brand level opportunities. </t>
  </si>
  <si>
    <t xml:space="preserve">Fill out with Funnel Stage and Product Level monthly budgets based on your advertiser DAA commitment. </t>
  </si>
  <si>
    <t>INSTRUCTIONS: Manually update yellow cells</t>
  </si>
  <si>
    <t>Sponsored Products</t>
  </si>
  <si>
    <t>SP campaigns</t>
  </si>
  <si>
    <t>Sponsored Brands</t>
  </si>
  <si>
    <t>Lifestyle Image</t>
  </si>
  <si>
    <t>Store Spotlight</t>
  </si>
  <si>
    <t>Video</t>
  </si>
  <si>
    <t>Sponsored Display</t>
  </si>
  <si>
    <t>Image</t>
  </si>
  <si>
    <t>Funnel Stage Allocation</t>
  </si>
  <si>
    <t>SBV</t>
  </si>
  <si>
    <t>SDV</t>
  </si>
  <si>
    <t>Conversion</t>
  </si>
  <si>
    <t>Prime Video</t>
  </si>
  <si>
    <t>STV</t>
  </si>
  <si>
    <t>ST</t>
  </si>
  <si>
    <t>2026 Budget Allocation</t>
  </si>
  <si>
    <t>2026 DAA Budget</t>
  </si>
  <si>
    <t>2026 Pacing</t>
  </si>
  <si>
    <t>DSP (SS)</t>
  </si>
  <si>
    <t>DSP -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</si>
</sst>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0.0%"/>
    <numFmt numFmtId="169" formatCode="_ [$¥-804]* #,##0_ ;_ [$¥-804]* \-#,##0_ ;_ [$¥-804]* &quot;-&quot;??_ ;_ @_ "/>
    <numFmt numFmtId="172" formatCode="_-[$¥-411]* #,##0_-;\-[$¥-411]* #,##0_-;_-[$¥-411]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mazon Ember"/>
      <family val="2"/>
    </font>
    <font>
      <sz val="8"/>
      <name val="Calibri"/>
      <family val="2"/>
      <scheme val="minor"/>
    </font>
    <font>
      <sz val="8"/>
      <color theme="1"/>
      <name val="Amazon Ember"/>
      <family val="2"/>
    </font>
    <font>
      <b/>
      <sz val="11"/>
      <color theme="1"/>
      <name val="Amazon Ember"/>
      <family val="2"/>
    </font>
    <font>
      <b/>
      <sz val="11"/>
      <color theme="0"/>
      <name val="Calibri"/>
      <family val="2"/>
      <scheme val="minor"/>
    </font>
    <font>
      <b/>
      <sz val="8"/>
      <color theme="0"/>
      <name val="Amazon Ember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mazon Ember"/>
      <family val="2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C9E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9A6E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5" borderId="0" xfId="0" applyFill="1"/>
    <xf numFmtId="16" fontId="2" fillId="2" borderId="2" xfId="0" applyNumberFormat="1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4" fillId="3" borderId="2" xfId="0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 vertical="center" readingOrder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0" fontId="4" fillId="3" borderId="4" xfId="0" applyFont="1" applyFill="1" applyBorder="1" applyAlignment="1">
      <alignment horizontal="center"/>
    </xf>
    <xf numFmtId="16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0" fontId="8" fillId="1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164" fontId="0" fillId="13" borderId="2" xfId="1" applyNumberFormat="1" applyFont="1" applyFill="1" applyBorder="1" applyAlignment="1">
      <alignment horizontal="center" vertical="center" readingOrder="1"/>
    </xf>
    <xf numFmtId="164" fontId="8" fillId="13" borderId="2" xfId="1" applyNumberFormat="1" applyFont="1" applyFill="1" applyBorder="1" applyAlignment="1">
      <alignment horizontal="center"/>
    </xf>
    <xf numFmtId="165" fontId="0" fillId="0" borderId="0" xfId="0" applyNumberFormat="1"/>
    <xf numFmtId="0" fontId="0" fillId="5" borderId="0" xfId="0" applyFill="1" applyAlignment="1">
      <alignment vertical="center"/>
    </xf>
    <xf numFmtId="0" fontId="8" fillId="5" borderId="0" xfId="0" applyFont="1" applyFill="1" applyAlignment="1">
      <alignment vertical="center" wrapText="1"/>
    </xf>
    <xf numFmtId="165" fontId="8" fillId="5" borderId="0" xfId="0" applyNumberFormat="1" applyFont="1" applyFill="1" applyAlignment="1" applyProtection="1">
      <alignment horizontal="left" vertical="center" wrapText="1"/>
      <protection locked="0"/>
    </xf>
    <xf numFmtId="9" fontId="0" fillId="5" borderId="0" xfId="2" applyFont="1" applyFill="1"/>
    <xf numFmtId="0" fontId="8" fillId="5" borderId="8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 applyAlignment="1" applyProtection="1">
      <alignment wrapText="1"/>
      <protection locked="0"/>
    </xf>
    <xf numFmtId="16" fontId="10" fillId="5" borderId="8" xfId="0" applyNumberFormat="1" applyFont="1" applyFill="1" applyBorder="1" applyAlignment="1">
      <alignment horizontal="left" vertical="center" readingOrder="1"/>
    </xf>
    <xf numFmtId="0" fontId="10" fillId="5" borderId="8" xfId="0" applyFont="1" applyFill="1" applyBorder="1" applyAlignment="1">
      <alignment horizontal="left" vertical="center" readingOrder="1"/>
    </xf>
    <xf numFmtId="9" fontId="1" fillId="5" borderId="8" xfId="2" applyFont="1" applyFill="1" applyBorder="1" applyAlignment="1" applyProtection="1">
      <alignment horizontal="left" wrapText="1"/>
      <protection locked="0"/>
    </xf>
    <xf numFmtId="0" fontId="8" fillId="5" borderId="8" xfId="0" applyFont="1" applyFill="1" applyBorder="1" applyAlignment="1" applyProtection="1">
      <alignment horizontal="center" vertical="center" wrapText="1"/>
      <protection locked="0"/>
    </xf>
    <xf numFmtId="9" fontId="1" fillId="5" borderId="8" xfId="2" applyFont="1" applyFill="1" applyBorder="1" applyAlignment="1" applyProtection="1">
      <alignment wrapText="1"/>
      <protection locked="0"/>
    </xf>
    <xf numFmtId="0" fontId="8" fillId="7" borderId="8" xfId="0" applyFont="1" applyFill="1" applyBorder="1" applyAlignment="1">
      <alignment vertical="center" wrapText="1"/>
    </xf>
    <xf numFmtId="0" fontId="8" fillId="13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8" fillId="15" borderId="8" xfId="0" applyFont="1" applyFill="1" applyBorder="1" applyAlignment="1">
      <alignment vertical="center" wrapText="1"/>
    </xf>
    <xf numFmtId="166" fontId="9" fillId="12" borderId="8" xfId="2" applyNumberFormat="1" applyFont="1" applyFill="1" applyBorder="1" applyAlignment="1" applyProtection="1">
      <alignment horizontal="left" vertical="center" wrapText="1"/>
      <protection locked="0"/>
    </xf>
    <xf numFmtId="166" fontId="9" fillId="12" borderId="8" xfId="2" applyNumberFormat="1" applyFont="1" applyFill="1" applyBorder="1" applyAlignment="1" applyProtection="1">
      <alignment horizontal="left" vertical="center" wrapText="1"/>
    </xf>
    <xf numFmtId="166" fontId="9" fillId="12" borderId="8" xfId="2" applyNumberFormat="1" applyFont="1" applyFill="1" applyBorder="1" applyAlignment="1" applyProtection="1">
      <alignment horizontal="left" wrapText="1"/>
      <protection locked="0"/>
    </xf>
    <xf numFmtId="166" fontId="9" fillId="12" borderId="8" xfId="2" applyNumberFormat="1" applyFont="1" applyFill="1" applyBorder="1" applyAlignment="1" applyProtection="1">
      <alignment horizontal="left" wrapText="1"/>
    </xf>
    <xf numFmtId="0" fontId="8" fillId="14" borderId="8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4" fontId="4" fillId="6" borderId="3" xfId="1" applyNumberFormat="1" applyFont="1" applyFill="1" applyBorder="1" applyAlignment="1">
      <alignment horizontal="center" vertical="center" readingOrder="1"/>
    </xf>
    <xf numFmtId="164" fontId="4" fillId="6" borderId="4" xfId="1" applyNumberFormat="1" applyFont="1" applyFill="1" applyBorder="1" applyAlignment="1">
      <alignment horizontal="center" vertical="center" readingOrder="1"/>
    </xf>
    <xf numFmtId="164" fontId="4" fillId="4" borderId="3" xfId="1" applyNumberFormat="1" applyFont="1" applyFill="1" applyBorder="1" applyAlignment="1">
      <alignment horizontal="center" vertical="center" readingOrder="1"/>
    </xf>
    <xf numFmtId="164" fontId="4" fillId="4" borderId="4" xfId="1" applyNumberFormat="1" applyFont="1" applyFill="1" applyBorder="1" applyAlignment="1">
      <alignment horizontal="center" vertical="center" readingOrder="1"/>
    </xf>
    <xf numFmtId="164" fontId="4" fillId="9" borderId="3" xfId="1" applyNumberFormat="1" applyFont="1" applyFill="1" applyBorder="1" applyAlignment="1">
      <alignment horizontal="center" vertical="center" readingOrder="1"/>
    </xf>
    <xf numFmtId="164" fontId="4" fillId="9" borderId="4" xfId="1" applyNumberFormat="1" applyFont="1" applyFill="1" applyBorder="1" applyAlignment="1">
      <alignment horizontal="center" vertical="center" readingOrder="1"/>
    </xf>
    <xf numFmtId="0" fontId="7" fillId="2" borderId="0" xfId="0" applyFont="1" applyFill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4" fontId="4" fillId="8" borderId="3" xfId="1" applyNumberFormat="1" applyFont="1" applyFill="1" applyBorder="1" applyAlignment="1">
      <alignment horizontal="center" vertical="center" readingOrder="1"/>
    </xf>
    <xf numFmtId="164" fontId="4" fillId="8" borderId="4" xfId="1" applyNumberFormat="1" applyFont="1" applyFill="1" applyBorder="1" applyAlignment="1">
      <alignment horizontal="center" vertical="center" readingOrder="1"/>
    </xf>
    <xf numFmtId="164" fontId="4" fillId="7" borderId="3" xfId="1" applyNumberFormat="1" applyFont="1" applyFill="1" applyBorder="1" applyAlignment="1">
      <alignment horizontal="center" vertical="center" readingOrder="1"/>
    </xf>
    <xf numFmtId="164" fontId="4" fillId="7" borderId="4" xfId="1" applyNumberFormat="1" applyFont="1" applyFill="1" applyBorder="1" applyAlignment="1">
      <alignment horizontal="center" vertical="center" readingOrder="1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10" borderId="0" xfId="0" applyFont="1" applyFill="1" applyAlignment="1">
      <alignment horizontal="center" vertical="center"/>
    </xf>
    <xf numFmtId="169" fontId="8" fillId="7" borderId="8" xfId="0" applyNumberFormat="1" applyFont="1" applyFill="1" applyBorder="1" applyAlignment="1">
      <alignment vertical="center" wrapText="1"/>
    </xf>
    <xf numFmtId="169" fontId="1" fillId="12" borderId="8" xfId="0" applyNumberFormat="1" applyFont="1" applyFill="1" applyBorder="1" applyAlignment="1">
      <alignment horizontal="left" vertical="center" wrapText="1"/>
    </xf>
    <xf numFmtId="169" fontId="8" fillId="13" borderId="8" xfId="0" applyNumberFormat="1" applyFont="1" applyFill="1" applyBorder="1" applyAlignment="1">
      <alignment vertical="center" wrapText="1"/>
    </xf>
    <xf numFmtId="169" fontId="1" fillId="12" borderId="8" xfId="2" applyNumberFormat="1" applyFont="1" applyFill="1" applyBorder="1" applyAlignment="1" applyProtection="1">
      <alignment horizontal="left" wrapText="1"/>
      <protection locked="0"/>
    </xf>
    <xf numFmtId="169" fontId="1" fillId="12" borderId="8" xfId="0" applyNumberFormat="1" applyFont="1" applyFill="1" applyBorder="1" applyAlignment="1" applyProtection="1">
      <alignment horizontal="left" wrapText="1"/>
      <protection locked="0"/>
    </xf>
    <xf numFmtId="169" fontId="8" fillId="4" borderId="8" xfId="0" applyNumberFormat="1" applyFont="1" applyFill="1" applyBorder="1" applyAlignment="1">
      <alignment vertical="center" wrapText="1"/>
    </xf>
    <xf numFmtId="169" fontId="8" fillId="15" borderId="8" xfId="0" applyNumberFormat="1" applyFont="1" applyFill="1" applyBorder="1" applyAlignment="1">
      <alignment vertical="center" wrapText="1"/>
    </xf>
    <xf numFmtId="169" fontId="8" fillId="5" borderId="8" xfId="0" applyNumberFormat="1" applyFont="1" applyFill="1" applyBorder="1"/>
    <xf numFmtId="172" fontId="0" fillId="13" borderId="2" xfId="1" applyNumberFormat="1" applyFont="1" applyFill="1" applyBorder="1" applyAlignment="1">
      <alignment horizontal="center" vertical="center" readingOrder="1"/>
    </xf>
    <xf numFmtId="172" fontId="8" fillId="13" borderId="2" xfId="1" applyNumberFormat="1" applyFont="1" applyFill="1" applyBorder="1" applyAlignment="1">
      <alignment horizontal="center"/>
    </xf>
    <xf numFmtId="172" fontId="0" fillId="7" borderId="2" xfId="1" applyNumberFormat="1" applyFont="1" applyFill="1" applyBorder="1" applyAlignment="1">
      <alignment horizontal="center" vertical="center" readingOrder="1"/>
    </xf>
    <xf numFmtId="172" fontId="8" fillId="7" borderId="2" xfId="1" applyNumberFormat="1" applyFont="1" applyFill="1" applyBorder="1" applyAlignment="1">
      <alignment horizontal="center"/>
    </xf>
    <xf numFmtId="172" fontId="0" fillId="4" borderId="2" xfId="1" applyNumberFormat="1" applyFont="1" applyFill="1" applyBorder="1" applyAlignment="1">
      <alignment horizontal="center" vertical="center" readingOrder="1"/>
    </xf>
    <xf numFmtId="172" fontId="8" fillId="4" borderId="2" xfId="1" applyNumberFormat="1" applyFont="1" applyFill="1" applyBorder="1" applyAlignment="1">
      <alignment horizontal="center"/>
    </xf>
    <xf numFmtId="172" fontId="6" fillId="2" borderId="2" xfId="1" applyNumberFormat="1" applyFont="1" applyFill="1" applyBorder="1" applyAlignment="1">
      <alignment horizontal="center"/>
    </xf>
    <xf numFmtId="172" fontId="0" fillId="5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5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C9A6E4"/>
      <color rgb="FFFBC9E2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[DAA Media Plan _2026 - DAIKEN Biomedical - JP.xlsx]Pivot Data!PivotTable31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mazon Ember" panose="02000000000000000000" pitchFamily="2" charset="0"/>
                <a:ea typeface="Amazon Ember" panose="02000000000000000000" pitchFamily="2" charset="0"/>
                <a:cs typeface="+mn-cs"/>
              </a:defRPr>
            </a:pPr>
            <a:r>
              <a:rPr lang="en-US"/>
              <a:t>Ad Investment by Funnel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mazon Ember" panose="02000000000000000000" pitchFamily="2" charset="0"/>
              <a:ea typeface="Amazon Ember" panose="02000000000000000000" pitchFamily="2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zon Ember" panose="02000000000000000000" pitchFamily="2" charset="0"/>
                  <a:ea typeface="Amazon Ember" panose="02000000000000000000" pitchFamily="2" charset="0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92007615332381"/>
              <c:y val="9.92468398599449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zon Ember" panose="02000000000000000000" pitchFamily="2" charset="0"/>
                  <a:ea typeface="Amazon Ember" panose="02000000000000000000" pitchFamily="2" charset="0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930278184396569"/>
              <c:y val="9.07630835845494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mazon Ember" panose="02000000000000000000" pitchFamily="2" charset="0"/>
                  <a:ea typeface="Amazon Ember" panose="02000000000000000000" pitchFamily="2" charset="0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Data'!$C$3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6C-4819-A3C0-0C73826DFFCE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6C-4819-A3C0-0C73826DFFCE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6C-4819-A3C0-0C73826DFFCE}"/>
              </c:ext>
            </c:extLst>
          </c:dPt>
          <c:dLbls>
            <c:dLbl>
              <c:idx val="0"/>
              <c:layout>
                <c:manualLayout>
                  <c:x val="-0.11192007615332381"/>
                  <c:y val="9.9246839859944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6C-4819-A3C0-0C73826DFFCE}"/>
                </c:ext>
              </c:extLst>
            </c:dLbl>
            <c:dLbl>
              <c:idx val="2"/>
              <c:layout>
                <c:manualLayout>
                  <c:x val="0.10930278184396569"/>
                  <c:y val="9.07630835845494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6C-4819-A3C0-0C73826DFF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mazon Ember" panose="02000000000000000000" pitchFamily="2" charset="0"/>
                    <a:ea typeface="Amazon Ember" panose="02000000000000000000" pitchFamily="2" charset="0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Data'!$B$4:$B$7</c:f>
              <c:strCache>
                <c:ptCount val="3"/>
                <c:pt idx="0">
                  <c:v>Awareness </c:v>
                </c:pt>
                <c:pt idx="1">
                  <c:v>Consideration </c:v>
                </c:pt>
                <c:pt idx="2">
                  <c:v>Conversion</c:v>
                </c:pt>
              </c:strCache>
            </c:strRef>
          </c:cat>
          <c:val>
            <c:numRef>
              <c:f>'Pivot Data'!$C$4:$C$7</c:f>
              <c:numCache>
                <c:formatCode>_("$"* #,##0_);_("$"* \(#,##0\);_("$"* "-"??_);_(@_)</c:formatCode>
                <c:ptCount val="3"/>
                <c:pt idx="0">
                  <c:v>0</c:v>
                </c:pt>
                <c:pt idx="1">
                  <c:v>620815.5</c:v>
                </c:pt>
                <c:pt idx="2">
                  <c:v>38769.5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2-4854-9618-2FD61DF9E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mazon Ember" panose="02000000000000000000" pitchFamily="2" charset="0"/>
              <a:ea typeface="Amazon Ember" panose="02000000000000000000" pitchFamily="2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mazon Ember" panose="02000000000000000000" pitchFamily="2" charset="0"/>
          <a:ea typeface="Amazon Ember" panose="020000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[DAA Media Plan _2026 - DAIKEN Biomedical - JP.xlsx]Pivot Data!PivotTable1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</a:t>
            </a:r>
            <a:r>
              <a:rPr lang="en-US" baseline="0"/>
              <a:t> Invest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Data'!$C$11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1C-4F95-BA35-B0515133E900}"/>
              </c:ext>
            </c:extLst>
          </c:dPt>
          <c:dPt>
            <c:idx val="1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1C-4F95-BA35-B0515133E9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1C-4F95-BA35-B0515133E900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1C-4F95-BA35-B0515133E900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1C-4F95-BA35-B0515133E900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1C-4F95-BA35-B0515133E9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990-4F6F-B200-F7128E070C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990-4F6F-B200-F7128E070C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990-4F6F-B200-F7128E070C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Data'!$B$12:$B$21</c:f>
              <c:strCache>
                <c:ptCount val="9"/>
                <c:pt idx="0">
                  <c:v>DSP-SS</c:v>
                </c:pt>
                <c:pt idx="1">
                  <c:v>SB</c:v>
                </c:pt>
                <c:pt idx="2">
                  <c:v>SBV</c:v>
                </c:pt>
                <c:pt idx="3">
                  <c:v>SD</c:v>
                </c:pt>
                <c:pt idx="4">
                  <c:v>SDV</c:v>
                </c:pt>
                <c:pt idx="5">
                  <c:v>SP</c:v>
                </c:pt>
                <c:pt idx="6">
                  <c:v>STV</c:v>
                </c:pt>
                <c:pt idx="7">
                  <c:v>Prime Video</c:v>
                </c:pt>
                <c:pt idx="8">
                  <c:v>ST</c:v>
                </c:pt>
              </c:strCache>
            </c:strRef>
          </c:cat>
          <c:val>
            <c:numRef>
              <c:f>'Pivot Data'!$C$12:$C$21</c:f>
              <c:numCache>
                <c:formatCode>"$"#,##0</c:formatCode>
                <c:ptCount val="9"/>
                <c:pt idx="0">
                  <c:v>0</c:v>
                </c:pt>
                <c:pt idx="1">
                  <c:v>50350</c:v>
                </c:pt>
                <c:pt idx="2">
                  <c:v>50350</c:v>
                </c:pt>
                <c:pt idx="3">
                  <c:v>55385</c:v>
                </c:pt>
                <c:pt idx="4">
                  <c:v>0</c:v>
                </c:pt>
                <c:pt idx="5">
                  <c:v>503500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1C-4F95-BA35-B0515133E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349250</xdr:colOff>
      <xdr:row>7</xdr:row>
      <xdr:rowOff>120651</xdr:rowOff>
    </xdr:from>
    <xdr:to>
      <xdr:col>3</xdr:col>
      <xdr:colOff>298450</xdr:colOff>
      <xdr:row>10</xdr:row>
      <xdr:rowOff>19051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A8887FEF-BF43-464B-976D-7BAE3EFBC8FA}"/>
            </a:ext>
          </a:extLst>
        </xdr:cNvPr>
        <xdr:cNvSpPr/>
      </xdr:nvSpPr>
      <xdr:spPr>
        <a:xfrm rot="5400000">
          <a:off x="2855913" y="1471613"/>
          <a:ext cx="469900" cy="434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381000</xdr:colOff>
      <xdr:row>20</xdr:row>
      <xdr:rowOff>158750</xdr:rowOff>
    </xdr:from>
    <xdr:to>
      <xdr:col>3</xdr:col>
      <xdr:colOff>330200</xdr:colOff>
      <xdr:row>23</xdr:row>
      <xdr:rowOff>57150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902242FC-DC50-4DC2-AB8D-7D36EBBAAEA9}"/>
            </a:ext>
          </a:extLst>
        </xdr:cNvPr>
        <xdr:cNvSpPr/>
      </xdr:nvSpPr>
      <xdr:spPr>
        <a:xfrm rot="5400000">
          <a:off x="2860675" y="4391025"/>
          <a:ext cx="450850" cy="4572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107950</xdr:colOff>
      <xdr:row>3</xdr:row>
      <xdr:rowOff>107949</xdr:rowOff>
    </xdr:from>
    <xdr:to>
      <xdr:col>8</xdr:col>
      <xdr:colOff>6350</xdr:colOff>
      <xdr:row>16</xdr:row>
      <xdr:rowOff>161924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0FF803D-6EF2-494B-9708-14E7CDE6D154}"/>
            </a:ext>
          </a:extLst>
        </xdr:cNvPr>
        <xdr:cNvSpPr txBox="1"/>
      </xdr:nvSpPr>
      <xdr:spPr>
        <a:xfrm>
          <a:off x="3603625" y="1441449"/>
          <a:ext cx="2946400" cy="272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i="0" baseline="0"/>
            <a:t>Copy and paste the DAA Media Plan Recommendation ($) by products from Ads Planner into the corresponding yellow cells in this excel file.</a:t>
          </a:r>
        </a:p>
        <a:p>
          <a:endParaRPr lang="en-US" sz="1100" i="1"/>
        </a:p>
      </xdr:txBody>
    </xdr:sp>
    <xdr:clientData/>
  </xdr:twoCellAnchor>
  <xdr:twoCellAnchor>
    <xdr:from>
      <xdr:col>4</xdr:col>
      <xdr:colOff>171450</xdr:colOff>
      <xdr:row>20</xdr:row>
      <xdr:rowOff>31750</xdr:rowOff>
    </xdr:from>
    <xdr:to>
      <xdr:col>8</xdr:col>
      <xdr:colOff>0</xdr:colOff>
      <xdr:row>27</xdr:row>
      <xdr:rowOff>19050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9DCC3B-45FD-4E60-B564-AFEFFF65CD07}"/>
            </a:ext>
          </a:extLst>
        </xdr:cNvPr>
        <xdr:cNvSpPr txBox="1"/>
      </xdr:nvSpPr>
      <xdr:spPr>
        <a:xfrm>
          <a:off x="3663950" y="4267200"/>
          <a:ext cx="4413250" cy="127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i="0"/>
            <a:t>Use the Automated Pitch Deck</a:t>
          </a:r>
          <a:r>
            <a:rPr lang="en-US" sz="1100" i="0" baseline="0"/>
            <a:t> to input the recommended budget allocation slides by month</a:t>
          </a:r>
        </a:p>
      </xdr:txBody>
    </xdr:sp>
    <xdr:clientData/>
  </xdr:twoCellAnchor>
  <xdr:twoCellAnchor>
    <xdr:from>
      <xdr:col>7</xdr:col>
      <xdr:colOff>923925</xdr:colOff>
      <xdr:row>31</xdr:row>
      <xdr:rowOff>171450</xdr:rowOff>
    </xdr:from>
    <xdr:to>
      <xdr:col>9</xdr:col>
      <xdr:colOff>508000</xdr:colOff>
      <xdr:row>38</xdr:row>
      <xdr:rowOff>158750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586A1A-DB5B-4B0B-9028-40F7C28A3401}"/>
            </a:ext>
          </a:extLst>
        </xdr:cNvPr>
        <xdr:cNvSpPr txBox="1"/>
      </xdr:nvSpPr>
      <xdr:spPr>
        <a:xfrm>
          <a:off x="5762625" y="7029450"/>
          <a:ext cx="2994025" cy="132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i="0"/>
            <a:t>AE does not</a:t>
          </a:r>
          <a:r>
            <a:rPr lang="en-US" sz="1100" i="0" baseline="0"/>
            <a:t> need to update this section. The Funnel Stage Allocation is the general product allocation by funnel stage. However, AE can customize this to fit their advertisers needs. </a:t>
          </a:r>
          <a:r>
            <a:rPr lang="en-US" sz="1100" b="1" i="0" baseline="0"/>
            <a:t>Consult team on if there's a recommended split by vertical</a:t>
          </a:r>
          <a:endParaRPr lang="en-US" sz="1100" b="1" i="1"/>
        </a:p>
      </xdr:txBody>
    </xdr:sp>
    <xdr:clientData/>
  </xdr:twoCellAnchor>
  <xdr:twoCellAnchor>
    <xdr:from>
      <xdr:col>7</xdr:col>
      <xdr:colOff>323850</xdr:colOff>
      <xdr:row>34</xdr:row>
      <xdr:rowOff>19051</xdr:rowOff>
    </xdr:from>
    <xdr:to>
      <xdr:col>7</xdr:col>
      <xdr:colOff>758825</xdr:colOff>
      <xdr:row>36</xdr:row>
      <xdr:rowOff>107951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7EC32C88-0B6A-42E4-A0F1-491E7C903DB5}"/>
            </a:ext>
          </a:extLst>
        </xdr:cNvPr>
        <xdr:cNvSpPr/>
      </xdr:nvSpPr>
      <xdr:spPr>
        <a:xfrm rot="5400000">
          <a:off x="5145088" y="7466013"/>
          <a:ext cx="469900" cy="4349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107662</xdr:colOff>
      <xdr:row>31</xdr:row>
      <xdr:rowOff>93229</xdr:rowOff>
    </xdr:from>
    <xdr:to>
      <xdr:col>7</xdr:col>
      <xdr:colOff>243610</xdr:colOff>
      <xdr:row>45</xdr:row>
      <xdr:rowOff>169429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83CCA48-D8D4-48A1-B4F3-29B25B33E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542636</xdr:colOff>
      <xdr:row>31</xdr:row>
      <xdr:rowOff>92365</xdr:rowOff>
    </xdr:from>
    <xdr:to>
      <xdr:col>11</xdr:col>
      <xdr:colOff>889000</xdr:colOff>
      <xdr:row>45</xdr:row>
      <xdr:rowOff>161637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B952E2-54C6-4597-8EC5-53E52CFE6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Maio, Michele" refreshedDate="45917.45476064815" createdVersion="7" refreshedVersion="8" minRefreshableVersion="3" recordCount="16" xr:uid="{500D0117-63B2-4A9A-B7A0-E30473A9E085}">
  <cacheSource type="worksheet">
    <worksheetSource ref="D3:R19" sheet="DAA Media Plan"/>
  </cacheSource>
  <cacheFields count="15">
    <cacheField name="Funnel Stage" numFmtId="0">
      <sharedItems/>
    </cacheField>
    <cacheField name="Ad Product" numFmtId="0">
      <sharedItems count="9">
        <s v="STV"/>
        <s v="Prime Video"/>
        <s v="DSP-SS"/>
        <s v="ST"/>
        <s v="SD"/>
        <s v="SDV"/>
        <s v="SB"/>
        <s v="SBV"/>
        <s v="SP"/>
      </sharedItems>
    </cacheField>
    <cacheField name="Jan" numFmtId="164">
      <sharedItems containsString="0" containsBlank="1" containsNumber="1" minValue="0" maxValue="4500"/>
    </cacheField>
    <cacheField name="Feb" numFmtId="164">
      <sharedItems containsString="0" containsBlank="1" containsNumber="1" containsInteger="1" minValue="0" maxValue="15000"/>
    </cacheField>
    <cacheField name="Mar" numFmtId="164">
      <sharedItems containsString="0" containsBlank="1" containsNumber="1" minValue="0" maxValue="42500"/>
    </cacheField>
    <cacheField name="Apr" numFmtId="164">
      <sharedItems containsString="0" containsBlank="1" containsNumber="1" minValue="0" maxValue="51500"/>
    </cacheField>
    <cacheField name="May" numFmtId="164">
      <sharedItems containsString="0" containsBlank="1" containsNumber="1" minValue="0" maxValue="26500"/>
    </cacheField>
    <cacheField name="Jun" numFmtId="164">
      <sharedItems containsString="0" containsBlank="1" containsNumber="1" minValue="0" maxValue="45500"/>
    </cacheField>
    <cacheField name="Jul" numFmtId="164">
      <sharedItems containsString="0" containsBlank="1" containsNumber="1" minValue="0" maxValue="51000"/>
    </cacheField>
    <cacheField name="Aug" numFmtId="164">
      <sharedItems containsString="0" containsBlank="1" containsNumber="1" minValue="0" maxValue="68000"/>
    </cacheField>
    <cacheField name="Sep" numFmtId="164">
      <sharedItems containsString="0" containsBlank="1" containsNumber="1" containsInteger="1" minValue="0" maxValue="109000"/>
    </cacheField>
    <cacheField name="Oct" numFmtId="164">
      <sharedItems containsString="0" containsBlank="1" containsNumber="1" minValue="0" maxValue="62500"/>
    </cacheField>
    <cacheField name="Nov" numFmtId="164">
      <sharedItems containsString="0" containsBlank="1" containsNumber="1" containsInteger="1" minValue="0" maxValue="15000"/>
    </cacheField>
    <cacheField name="Dec" numFmtId="164">
      <sharedItems containsString="0" containsBlank="1" containsNumber="1" minValue="0" maxValue="12500"/>
    </cacheField>
    <cacheField name="Total" numFmtId="164">
      <sharedItems containsSemiMixedTypes="0" containsString="0" containsNumber="1" minValue="0" maxValue="50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Maio, Michele" refreshedDate="45917.454760763889" createdVersion="7" refreshedVersion="8" minRefreshableVersion="3" recordCount="17" xr:uid="{789B8DCB-6F69-4B0B-8603-27E7BA7CDD10}">
  <cacheSource type="worksheet">
    <worksheetSource ref="D3:R20" sheet="DAA Media Plan"/>
  </cacheSource>
  <cacheFields count="15">
    <cacheField name="Funnel Stage" numFmtId="0">
      <sharedItems containsBlank="1" count="5">
        <s v="Awareness "/>
        <s v="Consideration "/>
        <s v="Conversion"/>
        <m/>
        <s v="Purchase" u="1"/>
      </sharedItems>
    </cacheField>
    <cacheField name="Ad Product" numFmtId="0">
      <sharedItems containsBlank="1"/>
    </cacheField>
    <cacheField name="Jan" numFmtId="164">
      <sharedItems containsString="0" containsBlank="1" containsNumber="1" minValue="0" maxValue="5895"/>
    </cacheField>
    <cacheField name="Feb" numFmtId="164">
      <sharedItems containsString="0" containsBlank="1" containsNumber="1" containsInteger="1" minValue="0" maxValue="19650"/>
    </cacheField>
    <cacheField name="Mar" numFmtId="164">
      <sharedItems containsString="0" containsBlank="1" containsNumber="1" minValue="0" maxValue="55675"/>
    </cacheField>
    <cacheField name="Apr" numFmtId="164">
      <sharedItems containsString="0" containsBlank="1" containsNumber="1" minValue="0" maxValue="67465"/>
    </cacheField>
    <cacheField name="May" numFmtId="164">
      <sharedItems containsString="0" containsBlank="1" containsNumber="1" minValue="0" maxValue="34715"/>
    </cacheField>
    <cacheField name="Jun" numFmtId="164">
      <sharedItems containsString="0" containsBlank="1" containsNumber="1" minValue="0" maxValue="59605"/>
    </cacheField>
    <cacheField name="Jul" numFmtId="164">
      <sharedItems containsString="0" containsBlank="1" containsNumber="1" minValue="0" maxValue="66810"/>
    </cacheField>
    <cacheField name="Aug" numFmtId="164">
      <sharedItems containsString="0" containsBlank="1" containsNumber="1" minValue="0" maxValue="89080"/>
    </cacheField>
    <cacheField name="Sep" numFmtId="164">
      <sharedItems containsString="0" containsBlank="1" containsNumber="1" containsInteger="1" minValue="0" maxValue="142790"/>
    </cacheField>
    <cacheField name="Oct" numFmtId="164">
      <sharedItems containsString="0" containsBlank="1" containsNumber="1" minValue="0" maxValue="81875"/>
    </cacheField>
    <cacheField name="Nov" numFmtId="164">
      <sharedItems containsString="0" containsBlank="1" containsNumber="1" containsInteger="1" minValue="0" maxValue="19650"/>
    </cacheField>
    <cacheField name="Dec" numFmtId="164">
      <sharedItems containsString="0" containsBlank="1" containsNumber="1" minValue="0" maxValue="16375"/>
    </cacheField>
    <cacheField name="Total" numFmtId="164">
      <sharedItems containsSemiMixedTypes="0" containsString="0" containsNumber="1" minValue="0" maxValue="6595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Awareness "/>
    <x v="0"/>
    <m/>
    <m/>
    <m/>
    <m/>
    <m/>
    <m/>
    <m/>
    <m/>
    <m/>
    <m/>
    <m/>
    <m/>
    <n v="0"/>
  </r>
  <r>
    <s v="Awareness "/>
    <x v="1"/>
    <m/>
    <m/>
    <m/>
    <m/>
    <m/>
    <m/>
    <m/>
    <m/>
    <m/>
    <m/>
    <m/>
    <m/>
    <n v="0"/>
  </r>
  <r>
    <s v="Awareness "/>
    <x v="2"/>
    <m/>
    <m/>
    <m/>
    <m/>
    <m/>
    <m/>
    <m/>
    <m/>
    <m/>
    <m/>
    <m/>
    <m/>
    <n v="0"/>
  </r>
  <r>
    <s v="Awareness "/>
    <x v="3"/>
    <n v="0"/>
    <n v="0"/>
    <n v="0"/>
    <n v="0"/>
    <n v="0"/>
    <n v="0"/>
    <n v="0"/>
    <n v="0"/>
    <n v="0"/>
    <n v="0"/>
    <n v="0"/>
    <n v="0"/>
    <n v="0"/>
  </r>
  <r>
    <s v="Awareness "/>
    <x v="4"/>
    <n v="0"/>
    <n v="0"/>
    <n v="0"/>
    <n v="0"/>
    <n v="0"/>
    <n v="0"/>
    <n v="0"/>
    <n v="0"/>
    <n v="0"/>
    <n v="0"/>
    <n v="0"/>
    <n v="0"/>
    <n v="0"/>
  </r>
  <r>
    <s v="Awareness "/>
    <x v="5"/>
    <n v="0"/>
    <n v="0"/>
    <n v="0"/>
    <n v="0"/>
    <n v="0"/>
    <n v="0"/>
    <n v="0"/>
    <n v="0"/>
    <n v="0"/>
    <n v="0"/>
    <n v="0"/>
    <n v="0"/>
    <n v="0"/>
  </r>
  <r>
    <s v="Awareness "/>
    <x v="6"/>
    <n v="0"/>
    <n v="0"/>
    <n v="0"/>
    <n v="0"/>
    <n v="0"/>
    <n v="0"/>
    <n v="0"/>
    <n v="0"/>
    <n v="0"/>
    <n v="0"/>
    <n v="0"/>
    <n v="0"/>
    <n v="0"/>
  </r>
  <r>
    <s v="Awareness "/>
    <x v="7"/>
    <n v="0"/>
    <n v="0"/>
    <n v="0"/>
    <n v="0"/>
    <n v="0"/>
    <n v="0"/>
    <n v="0"/>
    <n v="0"/>
    <n v="0"/>
    <n v="0"/>
    <n v="0"/>
    <n v="0"/>
    <n v="0"/>
  </r>
  <r>
    <s v="Consideration "/>
    <x v="8"/>
    <n v="4500"/>
    <n v="15000"/>
    <n v="42500"/>
    <n v="51500"/>
    <n v="26500"/>
    <n v="45500"/>
    <n v="51000"/>
    <n v="68000"/>
    <n v="109000"/>
    <n v="62500"/>
    <n v="15000"/>
    <n v="12500"/>
    <n v="503500"/>
  </r>
  <r>
    <s v="Consideration "/>
    <x v="6"/>
    <n v="449.99999999999994"/>
    <n v="1500"/>
    <n v="4250"/>
    <n v="5150"/>
    <n v="2650"/>
    <n v="4550"/>
    <n v="5100"/>
    <n v="6800.0000000000009"/>
    <n v="10900"/>
    <n v="6250"/>
    <n v="1500"/>
    <n v="1250"/>
    <n v="50350"/>
  </r>
  <r>
    <s v="Consideration "/>
    <x v="7"/>
    <n v="449.99999999999994"/>
    <n v="1500"/>
    <n v="4250"/>
    <n v="5150"/>
    <n v="2650"/>
    <n v="4550"/>
    <n v="5100"/>
    <n v="6800.0000000000009"/>
    <n v="10900"/>
    <n v="6250"/>
    <n v="1500"/>
    <n v="1250"/>
    <n v="50350"/>
  </r>
  <r>
    <s v="Consideration "/>
    <x v="4"/>
    <n v="148.49999999999997"/>
    <n v="495"/>
    <n v="1402.5"/>
    <n v="1699.5"/>
    <n v="874.5"/>
    <n v="1501.5"/>
    <n v="1683"/>
    <n v="2244"/>
    <n v="3597"/>
    <n v="2062.5"/>
    <n v="495"/>
    <n v="412.5"/>
    <n v="16615.5"/>
  </r>
  <r>
    <s v="Consideration "/>
    <x v="5"/>
    <n v="0"/>
    <n v="0"/>
    <n v="0"/>
    <n v="0"/>
    <n v="0"/>
    <n v="0"/>
    <n v="0"/>
    <n v="0"/>
    <n v="0"/>
    <n v="0"/>
    <n v="0"/>
    <n v="0"/>
    <n v="0"/>
  </r>
  <r>
    <s v="Conversion"/>
    <x v="8"/>
    <n v="0"/>
    <n v="0"/>
    <n v="0"/>
    <n v="0"/>
    <n v="0"/>
    <n v="0"/>
    <n v="0"/>
    <n v="0"/>
    <n v="0"/>
    <n v="0"/>
    <n v="0"/>
    <n v="0"/>
    <n v="0"/>
  </r>
  <r>
    <s v="Conversion"/>
    <x v="6"/>
    <n v="0"/>
    <n v="0"/>
    <n v="0"/>
    <n v="0"/>
    <n v="0"/>
    <n v="0"/>
    <n v="0"/>
    <n v="0"/>
    <n v="0"/>
    <n v="0"/>
    <n v="0"/>
    <n v="0"/>
    <n v="0"/>
  </r>
  <r>
    <s v="Conversion"/>
    <x v="4"/>
    <n v="346.49999999999994"/>
    <n v="1155"/>
    <n v="3272.5"/>
    <n v="3965.4999999999995"/>
    <n v="2040.4999999999998"/>
    <n v="3503.5"/>
    <n v="3926.9999999999995"/>
    <n v="5236"/>
    <n v="8393"/>
    <n v="4812.5"/>
    <n v="1155"/>
    <n v="962.49999999999989"/>
    <n v="38769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STV"/>
    <m/>
    <m/>
    <m/>
    <m/>
    <m/>
    <m/>
    <m/>
    <m/>
    <m/>
    <m/>
    <m/>
    <m/>
    <n v="0"/>
  </r>
  <r>
    <x v="0"/>
    <s v="Prime Video"/>
    <m/>
    <m/>
    <m/>
    <m/>
    <m/>
    <m/>
    <m/>
    <m/>
    <m/>
    <m/>
    <m/>
    <m/>
    <n v="0"/>
  </r>
  <r>
    <x v="0"/>
    <s v="DSP-SS"/>
    <m/>
    <m/>
    <m/>
    <m/>
    <m/>
    <m/>
    <m/>
    <m/>
    <m/>
    <m/>
    <m/>
    <m/>
    <n v="0"/>
  </r>
  <r>
    <x v="0"/>
    <s v="ST"/>
    <n v="0"/>
    <n v="0"/>
    <n v="0"/>
    <n v="0"/>
    <n v="0"/>
    <n v="0"/>
    <n v="0"/>
    <n v="0"/>
    <n v="0"/>
    <n v="0"/>
    <n v="0"/>
    <n v="0"/>
    <n v="0"/>
  </r>
  <r>
    <x v="0"/>
    <s v="SD"/>
    <n v="0"/>
    <n v="0"/>
    <n v="0"/>
    <n v="0"/>
    <n v="0"/>
    <n v="0"/>
    <n v="0"/>
    <n v="0"/>
    <n v="0"/>
    <n v="0"/>
    <n v="0"/>
    <n v="0"/>
    <n v="0"/>
  </r>
  <r>
    <x v="0"/>
    <s v="SDV"/>
    <n v="0"/>
    <n v="0"/>
    <n v="0"/>
    <n v="0"/>
    <n v="0"/>
    <n v="0"/>
    <n v="0"/>
    <n v="0"/>
    <n v="0"/>
    <n v="0"/>
    <n v="0"/>
    <n v="0"/>
    <n v="0"/>
  </r>
  <r>
    <x v="0"/>
    <s v="SB"/>
    <n v="0"/>
    <n v="0"/>
    <n v="0"/>
    <n v="0"/>
    <n v="0"/>
    <n v="0"/>
    <n v="0"/>
    <n v="0"/>
    <n v="0"/>
    <n v="0"/>
    <n v="0"/>
    <n v="0"/>
    <n v="0"/>
  </r>
  <r>
    <x v="0"/>
    <s v="SBV"/>
    <n v="0"/>
    <n v="0"/>
    <n v="0"/>
    <n v="0"/>
    <n v="0"/>
    <n v="0"/>
    <n v="0"/>
    <n v="0"/>
    <n v="0"/>
    <n v="0"/>
    <n v="0"/>
    <n v="0"/>
    <n v="0"/>
  </r>
  <r>
    <x v="1"/>
    <s v="SP"/>
    <n v="4500"/>
    <n v="15000"/>
    <n v="42500"/>
    <n v="51500"/>
    <n v="26500"/>
    <n v="45500"/>
    <n v="51000"/>
    <n v="68000"/>
    <n v="109000"/>
    <n v="62500"/>
    <n v="15000"/>
    <n v="12500"/>
    <n v="503500"/>
  </r>
  <r>
    <x v="1"/>
    <s v="SB"/>
    <n v="449.99999999999994"/>
    <n v="1500"/>
    <n v="4250"/>
    <n v="5150"/>
    <n v="2650"/>
    <n v="4550"/>
    <n v="5100"/>
    <n v="6800.0000000000009"/>
    <n v="10900"/>
    <n v="6250"/>
    <n v="1500"/>
    <n v="1250"/>
    <n v="50350"/>
  </r>
  <r>
    <x v="1"/>
    <s v="SBV"/>
    <n v="449.99999999999994"/>
    <n v="1500"/>
    <n v="4250"/>
    <n v="5150"/>
    <n v="2650"/>
    <n v="4550"/>
    <n v="5100"/>
    <n v="6800.0000000000009"/>
    <n v="10900"/>
    <n v="6250"/>
    <n v="1500"/>
    <n v="1250"/>
    <n v="50350"/>
  </r>
  <r>
    <x v="1"/>
    <s v="SD"/>
    <n v="148.49999999999997"/>
    <n v="495"/>
    <n v="1402.5"/>
    <n v="1699.5"/>
    <n v="874.5"/>
    <n v="1501.5"/>
    <n v="1683"/>
    <n v="2244"/>
    <n v="3597"/>
    <n v="2062.5"/>
    <n v="495"/>
    <n v="412.5"/>
    <n v="16615.5"/>
  </r>
  <r>
    <x v="1"/>
    <s v="SDV"/>
    <n v="0"/>
    <n v="0"/>
    <n v="0"/>
    <n v="0"/>
    <n v="0"/>
    <n v="0"/>
    <n v="0"/>
    <n v="0"/>
    <n v="0"/>
    <n v="0"/>
    <n v="0"/>
    <n v="0"/>
    <n v="0"/>
  </r>
  <r>
    <x v="2"/>
    <s v="SP"/>
    <n v="0"/>
    <n v="0"/>
    <n v="0"/>
    <n v="0"/>
    <n v="0"/>
    <n v="0"/>
    <n v="0"/>
    <n v="0"/>
    <n v="0"/>
    <n v="0"/>
    <n v="0"/>
    <n v="0"/>
    <n v="0"/>
  </r>
  <r>
    <x v="2"/>
    <s v="SB"/>
    <n v="0"/>
    <n v="0"/>
    <n v="0"/>
    <n v="0"/>
    <n v="0"/>
    <n v="0"/>
    <n v="0"/>
    <n v="0"/>
    <n v="0"/>
    <n v="0"/>
    <n v="0"/>
    <n v="0"/>
    <n v="0"/>
  </r>
  <r>
    <x v="2"/>
    <s v="SD"/>
    <n v="346.49999999999994"/>
    <n v="1155"/>
    <n v="3272.5"/>
    <n v="3965.4999999999995"/>
    <n v="2040.4999999999998"/>
    <n v="3503.5"/>
    <n v="3926.9999999999995"/>
    <n v="5236"/>
    <n v="8393"/>
    <n v="4812.5"/>
    <n v="1155"/>
    <n v="962.49999999999989"/>
    <n v="38769.5"/>
  </r>
  <r>
    <x v="3"/>
    <m/>
    <n v="5895"/>
    <n v="19650"/>
    <n v="55675"/>
    <n v="67465"/>
    <n v="34715"/>
    <n v="59605"/>
    <n v="66810"/>
    <n v="89080"/>
    <n v="142790"/>
    <n v="81875"/>
    <n v="19650"/>
    <n v="16375"/>
    <n v="6595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CBFB9-2C26-4747-B66F-993E66855694}" name="PivotTable3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4">
  <location ref="B3:C7" firstHeaderRow="1" firstDataRow="1" firstDataCol="1"/>
  <pivotFields count="15">
    <pivotField axis="axisRow" showAll="0">
      <items count="6">
        <item x="0"/>
        <item x="1"/>
        <item h="1" m="1" x="4"/>
        <item h="1" x="3"/>
        <item x="2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showAll="0"/>
  </pivotFields>
  <rowFields count="1">
    <field x="0"/>
  </rowFields>
  <rowItems count="4">
    <i>
      <x/>
    </i>
    <i>
      <x v="1"/>
    </i>
    <i>
      <x v="4"/>
    </i>
    <i t="grand">
      <x/>
    </i>
  </rowItems>
  <colItems count="1">
    <i/>
  </colItems>
  <dataFields count="1">
    <dataField name="Sum of Total" fld="14" baseField="0" baseItem="0" numFmtId="44"/>
  </dataFields>
  <formats count="5"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collapsedLevelsAreSubtotals="1" fieldPosition="0">
        <references count="1">
          <reference field="0" count="0"/>
        </references>
      </pivotArea>
    </format>
    <format dxfId="0">
      <pivotArea grandRow="1" outline="0" collapsedLevelsAreSubtotals="1" fieldPosition="0"/>
    </format>
  </formats>
  <chartFormats count="5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C4826-F52E-47EF-B5CA-DA9D0528C3A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3">
  <location ref="B11:C21" firstHeaderRow="1" firstDataRow="1" firstDataCol="1"/>
  <pivotFields count="15">
    <pivotField showAll="0"/>
    <pivotField axis="axisRow" showAll="0">
      <items count="10">
        <item x="2"/>
        <item x="6"/>
        <item x="7"/>
        <item x="4"/>
        <item x="5"/>
        <item x="8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" fld="14" baseField="1" baseItem="0" numFmtId="165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F536-74F6-4AA6-967C-30B43B989A86}">
  <dimension ref="A1:G38"/>
  <sheetViews>
    <sheetView zoomScaleNormal="100" workbookViewId="0">
      <selection activeCell="I6" sqref="I6"/>
    </sheetView>
  </sheetViews>
  <sheetFormatPr defaultColWidth="25.453125" defaultRowHeight="14.5" x14ac:dyDescent="0.35"/>
  <cols>
    <col min="1" max="1" width="25.453125" style="1"/>
    <col min="2" max="2" width="19.1796875" style="1" customWidth="1"/>
    <col min="3" max="6" width="7.36328125" style="1" customWidth="1"/>
    <col min="7" max="7" width="5.453125" style="1" bestFit="1" customWidth="1"/>
    <col min="8" max="16384" width="25.453125" style="1"/>
  </cols>
  <sheetData>
    <row r="1" spans="1:6" x14ac:dyDescent="0.35">
      <c r="A1" s="39" t="s">
        <v>51</v>
      </c>
      <c r="B1" s="39"/>
      <c r="C1" s="39"/>
      <c r="D1" s="39"/>
      <c r="E1" s="18"/>
      <c r="F1" s="18"/>
    </row>
    <row r="2" spans="1:6" x14ac:dyDescent="0.35">
      <c r="A2" s="39"/>
      <c r="B2" s="39"/>
      <c r="C2" s="39"/>
      <c r="D2" s="39"/>
      <c r="E2" s="18"/>
      <c r="F2" s="18"/>
    </row>
    <row r="3" spans="1:6" x14ac:dyDescent="0.35">
      <c r="A3" s="19"/>
      <c r="B3" s="20"/>
    </row>
    <row r="4" spans="1:6" x14ac:dyDescent="0.35">
      <c r="A4" s="38" t="s">
        <v>67</v>
      </c>
      <c r="B4" s="38"/>
    </row>
    <row r="5" spans="1:6" x14ac:dyDescent="0.35">
      <c r="A5" s="30" t="s">
        <v>52</v>
      </c>
      <c r="B5" s="59">
        <f>B6</f>
        <v>36750000</v>
      </c>
      <c r="C5" s="21"/>
    </row>
    <row r="6" spans="1:6" x14ac:dyDescent="0.35">
      <c r="A6" s="22" t="s">
        <v>53</v>
      </c>
      <c r="B6" s="60">
        <v>36750000</v>
      </c>
    </row>
    <row r="7" spans="1:6" x14ac:dyDescent="0.35">
      <c r="A7" s="31" t="s">
        <v>54</v>
      </c>
      <c r="B7" s="61">
        <f>SUM(B8:B10)</f>
        <v>10000000</v>
      </c>
      <c r="C7" s="21"/>
    </row>
    <row r="8" spans="1:6" x14ac:dyDescent="0.35">
      <c r="A8" s="23" t="s">
        <v>55</v>
      </c>
      <c r="B8" s="62">
        <v>5000000</v>
      </c>
    </row>
    <row r="9" spans="1:6" x14ac:dyDescent="0.35">
      <c r="A9" s="24" t="s">
        <v>56</v>
      </c>
      <c r="B9" s="63">
        <v>0</v>
      </c>
    </row>
    <row r="10" spans="1:6" x14ac:dyDescent="0.35">
      <c r="A10" s="24" t="s">
        <v>57</v>
      </c>
      <c r="B10" s="63">
        <v>5000000</v>
      </c>
    </row>
    <row r="11" spans="1:6" x14ac:dyDescent="0.35">
      <c r="A11" s="32" t="s">
        <v>58</v>
      </c>
      <c r="B11" s="64">
        <f>SUM(B12:B13)</f>
        <v>2750000</v>
      </c>
      <c r="C11" s="21"/>
    </row>
    <row r="12" spans="1:6" x14ac:dyDescent="0.35">
      <c r="A12" s="24" t="s">
        <v>59</v>
      </c>
      <c r="B12" s="63">
        <v>2750000</v>
      </c>
    </row>
    <row r="13" spans="1:6" x14ac:dyDescent="0.35">
      <c r="A13" s="24" t="s">
        <v>57</v>
      </c>
      <c r="B13" s="63">
        <v>0</v>
      </c>
    </row>
    <row r="14" spans="1:6" x14ac:dyDescent="0.35">
      <c r="A14" s="33" t="s">
        <v>70</v>
      </c>
      <c r="B14" s="65">
        <f>B15</f>
        <v>5500000</v>
      </c>
    </row>
    <row r="15" spans="1:6" x14ac:dyDescent="0.35">
      <c r="A15" s="24" t="s">
        <v>70</v>
      </c>
      <c r="B15" s="63">
        <v>5500000</v>
      </c>
    </row>
    <row r="16" spans="1:6" ht="15" customHeight="1" x14ac:dyDescent="0.35">
      <c r="A16" s="22" t="s">
        <v>68</v>
      </c>
      <c r="B16" s="66">
        <f>B5+B7+B11+B14</f>
        <v>55000000</v>
      </c>
    </row>
    <row r="19" spans="1:2" x14ac:dyDescent="0.35">
      <c r="A19" s="38" t="s">
        <v>69</v>
      </c>
      <c r="B19" s="38"/>
    </row>
    <row r="20" spans="1:2" x14ac:dyDescent="0.35">
      <c r="A20" s="25" t="s">
        <v>0</v>
      </c>
      <c r="B20" s="34">
        <v>2.900025301109627E-2</v>
      </c>
    </row>
    <row r="21" spans="1:2" x14ac:dyDescent="0.35">
      <c r="A21" s="25" t="s">
        <v>1</v>
      </c>
      <c r="B21" s="34">
        <v>3.3350290962760709E-2</v>
      </c>
    </row>
    <row r="22" spans="1:2" x14ac:dyDescent="0.35">
      <c r="A22" s="25" t="s">
        <v>2</v>
      </c>
      <c r="B22" s="34">
        <v>4.002034915531285E-2</v>
      </c>
    </row>
    <row r="23" spans="1:2" x14ac:dyDescent="0.35">
      <c r="A23" s="25" t="s">
        <v>3</v>
      </c>
      <c r="B23" s="34">
        <v>4.6023401528609779E-2</v>
      </c>
    </row>
    <row r="24" spans="1:2" x14ac:dyDescent="0.35">
      <c r="A24" s="26" t="s">
        <v>4</v>
      </c>
      <c r="B24" s="34">
        <v>5.2926911757901249E-2</v>
      </c>
    </row>
    <row r="25" spans="1:2" x14ac:dyDescent="0.35">
      <c r="A25" s="26" t="s">
        <v>5</v>
      </c>
      <c r="B25" s="34">
        <v>6.0865948521586437E-2</v>
      </c>
    </row>
    <row r="26" spans="1:2" x14ac:dyDescent="0.35">
      <c r="A26" s="26" t="s">
        <v>6</v>
      </c>
      <c r="B26" s="35">
        <v>7.9125733615104082E-2</v>
      </c>
    </row>
    <row r="27" spans="1:2" x14ac:dyDescent="0.35">
      <c r="A27" s="26" t="s">
        <v>7</v>
      </c>
      <c r="B27" s="34">
        <v>9.0994593321718623E-2</v>
      </c>
    </row>
    <row r="28" spans="1:2" x14ac:dyDescent="0.35">
      <c r="A28" s="26" t="s">
        <v>8</v>
      </c>
      <c r="B28" s="36">
        <v>0.10464378258849728</v>
      </c>
    </row>
    <row r="29" spans="1:2" x14ac:dyDescent="0.35">
      <c r="A29" s="26" t="s">
        <v>9</v>
      </c>
      <c r="B29" s="36">
        <v>0.12557253883767588</v>
      </c>
    </row>
    <row r="30" spans="1:2" x14ac:dyDescent="0.35">
      <c r="A30" s="26" t="s">
        <v>10</v>
      </c>
      <c r="B30" s="37">
        <v>0.15696567254014163</v>
      </c>
    </row>
    <row r="31" spans="1:2" x14ac:dyDescent="0.35">
      <c r="A31" s="26" t="s">
        <v>11</v>
      </c>
      <c r="B31" s="35">
        <v>0.18051052415959523</v>
      </c>
    </row>
    <row r="34" spans="1:7" x14ac:dyDescent="0.35">
      <c r="A34" s="38" t="s">
        <v>60</v>
      </c>
      <c r="B34" s="38"/>
      <c r="C34" s="38"/>
      <c r="D34" s="38"/>
      <c r="E34" s="38"/>
      <c r="F34" s="38"/>
      <c r="G34" s="38"/>
    </row>
    <row r="35" spans="1:7" x14ac:dyDescent="0.35">
      <c r="A35" s="27"/>
      <c r="B35" s="28" t="s">
        <v>22</v>
      </c>
      <c r="C35" s="28" t="s">
        <v>20</v>
      </c>
      <c r="D35" s="28" t="s">
        <v>61</v>
      </c>
      <c r="E35" s="28" t="s">
        <v>19</v>
      </c>
      <c r="F35" s="28" t="s">
        <v>62</v>
      </c>
      <c r="G35" s="28" t="s">
        <v>66</v>
      </c>
    </row>
    <row r="36" spans="1:7" x14ac:dyDescent="0.35">
      <c r="A36" s="24" t="s">
        <v>17</v>
      </c>
      <c r="B36" s="29">
        <v>0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</row>
    <row r="37" spans="1:7" x14ac:dyDescent="0.35">
      <c r="A37" s="24" t="s">
        <v>18</v>
      </c>
      <c r="B37" s="29">
        <v>1</v>
      </c>
      <c r="C37" s="29">
        <v>1</v>
      </c>
      <c r="D37" s="29">
        <v>1</v>
      </c>
      <c r="E37" s="29">
        <v>0.3</v>
      </c>
      <c r="F37" s="29">
        <v>0</v>
      </c>
      <c r="G37" s="29">
        <v>0</v>
      </c>
    </row>
    <row r="38" spans="1:7" x14ac:dyDescent="0.35">
      <c r="A38" s="24" t="s">
        <v>63</v>
      </c>
      <c r="B38" s="29">
        <v>0</v>
      </c>
      <c r="C38" s="29">
        <v>0</v>
      </c>
      <c r="D38" s="29">
        <v>0</v>
      </c>
      <c r="E38" s="29">
        <v>0.7</v>
      </c>
      <c r="F38" s="29">
        <v>0</v>
      </c>
      <c r="G38" s="29">
        <v>0</v>
      </c>
    </row>
  </sheetData>
  <mergeCells count="4">
    <mergeCell ref="A4:B4"/>
    <mergeCell ref="A19:B19"/>
    <mergeCell ref="A1:D2"/>
    <mergeCell ref="A34:G3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8605-1B8D-4169-84F7-A690891BCBA2}">
  <dimension ref="B3:R29"/>
  <sheetViews>
    <sheetView showGridLines="0" tabSelected="1" topLeftCell="D1" zoomScale="70" zoomScaleNormal="70" workbookViewId="0">
      <selection activeCell="N7" sqref="N7"/>
    </sheetView>
  </sheetViews>
  <sheetFormatPr defaultColWidth="8.81640625" defaultRowHeight="14.5" x14ac:dyDescent="0.35"/>
  <cols>
    <col min="2" max="2" width="12.453125" bestFit="1" customWidth="1"/>
    <col min="3" max="3" width="14.81640625" bestFit="1" customWidth="1"/>
    <col min="4" max="9" width="14.453125" bestFit="1" customWidth="1"/>
    <col min="10" max="10" width="15.453125" bestFit="1" customWidth="1"/>
    <col min="11" max="13" width="14.453125" bestFit="1" customWidth="1"/>
    <col min="14" max="15" width="15.453125" bestFit="1" customWidth="1"/>
    <col min="16" max="16" width="17.453125" bestFit="1" customWidth="1"/>
    <col min="17" max="17" width="16.453125" customWidth="1"/>
    <col min="18" max="18" width="21.54296875" bestFit="1" customWidth="1"/>
  </cols>
  <sheetData>
    <row r="3" spans="2:18" x14ac:dyDescent="0.35">
      <c r="B3" s="48" t="s">
        <v>50</v>
      </c>
      <c r="C3" s="49"/>
      <c r="D3" s="2" t="s">
        <v>13</v>
      </c>
      <c r="E3" s="2" t="s">
        <v>15</v>
      </c>
      <c r="F3" s="2" t="s">
        <v>0</v>
      </c>
      <c r="G3" s="2" t="s">
        <v>1</v>
      </c>
      <c r="H3" s="2" t="s">
        <v>2</v>
      </c>
      <c r="I3" s="2" t="s">
        <v>3</v>
      </c>
      <c r="J3" s="3" t="s">
        <v>4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14</v>
      </c>
    </row>
    <row r="4" spans="2:18" x14ac:dyDescent="0.35">
      <c r="B4" s="48"/>
      <c r="C4" s="49"/>
      <c r="D4" s="12" t="s">
        <v>17</v>
      </c>
      <c r="E4" s="12" t="s">
        <v>65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>
        <f t="shared" ref="R4:R5" si="0">SUM(F4:Q4)</f>
        <v>0</v>
      </c>
    </row>
    <row r="5" spans="2:18" x14ac:dyDescent="0.35">
      <c r="B5" s="48"/>
      <c r="C5" s="49"/>
      <c r="D5" s="12" t="s">
        <v>17</v>
      </c>
      <c r="E5" s="12" t="s">
        <v>64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>
        <f t="shared" si="0"/>
        <v>0</v>
      </c>
    </row>
    <row r="6" spans="2:18" x14ac:dyDescent="0.35">
      <c r="B6" s="50"/>
      <c r="C6" s="49"/>
      <c r="D6" s="12" t="s">
        <v>17</v>
      </c>
      <c r="E6" s="12" t="s">
        <v>66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>
        <f t="shared" ref="R6:R19" si="1">SUM(F6:Q6)</f>
        <v>0</v>
      </c>
    </row>
    <row r="7" spans="2:18" x14ac:dyDescent="0.35">
      <c r="B7" s="50"/>
      <c r="C7" s="49"/>
      <c r="D7" s="12" t="s">
        <v>17</v>
      </c>
      <c r="E7" s="12" t="s">
        <v>71</v>
      </c>
      <c r="F7" s="67">
        <v>152500</v>
      </c>
      <c r="G7" s="67">
        <v>183500</v>
      </c>
      <c r="H7" s="67">
        <v>220000</v>
      </c>
      <c r="I7" s="67">
        <v>253500</v>
      </c>
      <c r="J7" s="67">
        <v>290000</v>
      </c>
      <c r="K7" s="67">
        <v>335000</v>
      </c>
      <c r="L7" s="67">
        <v>435000</v>
      </c>
      <c r="M7" s="67">
        <v>500000</v>
      </c>
      <c r="N7" s="67">
        <v>575500</v>
      </c>
      <c r="O7" s="67">
        <v>690000</v>
      </c>
      <c r="P7" s="67">
        <v>865000</v>
      </c>
      <c r="Q7" s="67">
        <v>1000000</v>
      </c>
      <c r="R7" s="68">
        <f t="shared" si="1"/>
        <v>5500000</v>
      </c>
    </row>
    <row r="8" spans="2:18" x14ac:dyDescent="0.35">
      <c r="B8" s="50"/>
      <c r="C8" s="49"/>
      <c r="D8" s="12" t="s">
        <v>17</v>
      </c>
      <c r="E8" s="12" t="s">
        <v>19</v>
      </c>
      <c r="F8" s="67">
        <f>'INPUTS - START HERE'!$B$12*VLOOKUP('DAA Media Plan'!F3,'INPUTS - START HERE'!$A$20:$B$31,2,0)*INDEX('INPUTS - START HERE'!$A$35:$F$38,MATCH('DAA Media Plan'!$D$8,'INPUTS - START HERE'!$A$35:$A$38,0),MATCH('DAA Media Plan'!$E$8,'INPUTS - START HERE'!$A$35:$F$35,0))</f>
        <v>0</v>
      </c>
      <c r="G8" s="67">
        <f>'INPUTS - START HERE'!$B$12*VLOOKUP('DAA Media Plan'!G3,'INPUTS - START HERE'!$A$20:$B$31,2,0)*INDEX('INPUTS - START HERE'!$A$35:$F$38,MATCH('DAA Media Plan'!$D$8,'INPUTS - START HERE'!$A$35:$A$38,0),MATCH('DAA Media Plan'!$E$8,'INPUTS - START HERE'!$A$35:$F$35,0))</f>
        <v>0</v>
      </c>
      <c r="H8" s="67">
        <f>'INPUTS - START HERE'!$B$12*VLOOKUP('DAA Media Plan'!H3,'INPUTS - START HERE'!$A$20:$B$31,2,0)*INDEX('INPUTS - START HERE'!$A$35:$F$38,MATCH('DAA Media Plan'!$D$8,'INPUTS - START HERE'!$A$35:$A$38,0),MATCH('DAA Media Plan'!$E$8,'INPUTS - START HERE'!$A$35:$F$35,0))</f>
        <v>0</v>
      </c>
      <c r="I8" s="67">
        <f>'INPUTS - START HERE'!$B$12*VLOOKUP('DAA Media Plan'!I3,'INPUTS - START HERE'!$A$20:$B$31,2,0)*INDEX('INPUTS - START HERE'!$A$35:$F$38,MATCH('DAA Media Plan'!$D$8,'INPUTS - START HERE'!$A$35:$A$38,0),MATCH('DAA Media Plan'!$E$8,'INPUTS - START HERE'!$A$35:$F$35,0))</f>
        <v>0</v>
      </c>
      <c r="J8" s="67">
        <f>'INPUTS - START HERE'!$B$12*VLOOKUP('DAA Media Plan'!J3,'INPUTS - START HERE'!$A$20:$B$31,2,0)*INDEX('INPUTS - START HERE'!$A$35:$F$38,MATCH('DAA Media Plan'!$D$8,'INPUTS - START HERE'!$A$35:$A$38,0),MATCH('DAA Media Plan'!$E$8,'INPUTS - START HERE'!$A$35:$F$35,0))</f>
        <v>0</v>
      </c>
      <c r="K8" s="67">
        <f>'INPUTS - START HERE'!$B$12*VLOOKUP('DAA Media Plan'!K3,'INPUTS - START HERE'!$A$20:$B$31,2,0)*INDEX('INPUTS - START HERE'!$A$35:$F$38,MATCH('DAA Media Plan'!$D$8,'INPUTS - START HERE'!$A$35:$A$38,0),MATCH('DAA Media Plan'!$E$8,'INPUTS - START HERE'!$A$35:$F$35,0))</f>
        <v>0</v>
      </c>
      <c r="L8" s="67">
        <f>'INPUTS - START HERE'!$B$12*VLOOKUP('DAA Media Plan'!L3,'INPUTS - START HERE'!$A$20:$B$31,2,0)*INDEX('INPUTS - START HERE'!$A$35:$F$38,MATCH('DAA Media Plan'!$D$8,'INPUTS - START HERE'!$A$35:$A$38,0),MATCH('DAA Media Plan'!$E$8,'INPUTS - START HERE'!$A$35:$F$35,0))</f>
        <v>0</v>
      </c>
      <c r="M8" s="67">
        <f>'INPUTS - START HERE'!$B$12*VLOOKUP('DAA Media Plan'!M3,'INPUTS - START HERE'!$A$20:$B$31,2,0)*INDEX('INPUTS - START HERE'!$A$35:$F$38,MATCH('DAA Media Plan'!$D$8,'INPUTS - START HERE'!$A$35:$A$38,0),MATCH('DAA Media Plan'!$E$8,'INPUTS - START HERE'!$A$35:$F$35,0))</f>
        <v>0</v>
      </c>
      <c r="N8" s="67">
        <f>'INPUTS - START HERE'!$B$12*VLOOKUP('DAA Media Plan'!N3,'INPUTS - START HERE'!$A$20:$B$31,2,0)*INDEX('INPUTS - START HERE'!$A$35:$F$38,MATCH('DAA Media Plan'!$D$8,'INPUTS - START HERE'!$A$35:$A$38,0),MATCH('DAA Media Plan'!$E$8,'INPUTS - START HERE'!$A$35:$F$35,0))</f>
        <v>0</v>
      </c>
      <c r="O8" s="67">
        <f>'INPUTS - START HERE'!$B$12*VLOOKUP('DAA Media Plan'!O3,'INPUTS - START HERE'!$A$20:$B$31,2,0)*INDEX('INPUTS - START HERE'!$A$35:$F$38,MATCH('DAA Media Plan'!$D$8,'INPUTS - START HERE'!$A$35:$A$38,0),MATCH('DAA Media Plan'!$E$8,'INPUTS - START HERE'!$A$35:$F$35,0))</f>
        <v>0</v>
      </c>
      <c r="P8" s="67">
        <f>'INPUTS - START HERE'!$B$12*VLOOKUP('DAA Media Plan'!P3,'INPUTS - START HERE'!$A$20:$B$31,2,0)*INDEX('INPUTS - START HERE'!$A$35:$F$38,MATCH('DAA Media Plan'!$D$8,'INPUTS - START HERE'!$A$35:$A$38,0),MATCH('DAA Media Plan'!$E$8,'INPUTS - START HERE'!$A$35:$F$35,0))</f>
        <v>0</v>
      </c>
      <c r="Q8" s="67">
        <f>'INPUTS - START HERE'!$B$12*VLOOKUP('DAA Media Plan'!Q3,'INPUTS - START HERE'!$A$20:$B$31,2,0)*INDEX('INPUTS - START HERE'!$A$35:$F$38,MATCH('DAA Media Plan'!$D$8,'INPUTS - START HERE'!$A$35:$A$38,0),MATCH('DAA Media Plan'!$E$8,'INPUTS - START HERE'!$A$35:$F$35,0))</f>
        <v>0</v>
      </c>
      <c r="R8" s="68">
        <f t="shared" si="1"/>
        <v>0</v>
      </c>
    </row>
    <row r="9" spans="2:18" x14ac:dyDescent="0.35">
      <c r="B9" s="50"/>
      <c r="C9" s="49"/>
      <c r="D9" s="12" t="s">
        <v>17</v>
      </c>
      <c r="E9" s="12" t="s">
        <v>62</v>
      </c>
      <c r="F9" s="67">
        <f>'INPUTS - START HERE'!$B$13*VLOOKUP('DAA Media Plan'!F3,'INPUTS - START HERE'!$A$20:$B$31,2,0)*INDEX('INPUTS - START HERE'!$A$35:$F$38,MATCH('DAA Media Plan'!$D$9,'INPUTS - START HERE'!$A$35:$A$38,0),MATCH('DAA Media Plan'!$E$9,'INPUTS - START HERE'!$A$35:$F$35,0))</f>
        <v>0</v>
      </c>
      <c r="G9" s="67">
        <f>'INPUTS - START HERE'!$B$13*VLOOKUP('DAA Media Plan'!G3,'INPUTS - START HERE'!$A$20:$B$31,2,0)*INDEX('INPUTS - START HERE'!$A$35:$F$38,MATCH('DAA Media Plan'!$D$9,'INPUTS - START HERE'!$A$35:$A$38,0),MATCH('DAA Media Plan'!$E$9,'INPUTS - START HERE'!$A$35:$F$35,0))</f>
        <v>0</v>
      </c>
      <c r="H9" s="67">
        <f>'INPUTS - START HERE'!$B$13*VLOOKUP('DAA Media Plan'!H3,'INPUTS - START HERE'!$A$20:$B$31,2,0)*INDEX('INPUTS - START HERE'!$A$35:$F$38,MATCH('DAA Media Plan'!$D$9,'INPUTS - START HERE'!$A$35:$A$38,0),MATCH('DAA Media Plan'!$E$9,'INPUTS - START HERE'!$A$35:$F$35,0))</f>
        <v>0</v>
      </c>
      <c r="I9" s="67">
        <f>'INPUTS - START HERE'!$B$13*VLOOKUP('DAA Media Plan'!I3,'INPUTS - START HERE'!$A$20:$B$31,2,0)*INDEX('INPUTS - START HERE'!$A$35:$F$38,MATCH('DAA Media Plan'!$D$9,'INPUTS - START HERE'!$A$35:$A$38,0),MATCH('DAA Media Plan'!$E$9,'INPUTS - START HERE'!$A$35:$F$35,0))</f>
        <v>0</v>
      </c>
      <c r="J9" s="67">
        <f>'INPUTS - START HERE'!$B$13*VLOOKUP('DAA Media Plan'!J3,'INPUTS - START HERE'!$A$20:$B$31,2,0)*INDEX('INPUTS - START HERE'!$A$35:$F$38,MATCH('DAA Media Plan'!$D$9,'INPUTS - START HERE'!$A$35:$A$38,0),MATCH('DAA Media Plan'!$E$9,'INPUTS - START HERE'!$A$35:$F$35,0))</f>
        <v>0</v>
      </c>
      <c r="K9" s="67">
        <f>'INPUTS - START HERE'!$B$13*VLOOKUP('DAA Media Plan'!K3,'INPUTS - START HERE'!$A$20:$B$31,2,0)*INDEX('INPUTS - START HERE'!$A$35:$F$38,MATCH('DAA Media Plan'!$D$9,'INPUTS - START HERE'!$A$35:$A$38,0),MATCH('DAA Media Plan'!$E$9,'INPUTS - START HERE'!$A$35:$F$35,0))</f>
        <v>0</v>
      </c>
      <c r="L9" s="67">
        <f>'INPUTS - START HERE'!$B$13*VLOOKUP('DAA Media Plan'!L3,'INPUTS - START HERE'!$A$20:$B$31,2,0)*INDEX('INPUTS - START HERE'!$A$35:$F$38,MATCH('DAA Media Plan'!$D$9,'INPUTS - START HERE'!$A$35:$A$38,0),MATCH('DAA Media Plan'!$E$9,'INPUTS - START HERE'!$A$35:$F$35,0))</f>
        <v>0</v>
      </c>
      <c r="M9" s="67">
        <f>'INPUTS - START HERE'!$B$13*VLOOKUP('DAA Media Plan'!M3,'INPUTS - START HERE'!$A$20:$B$31,2,0)*INDEX('INPUTS - START HERE'!$A$35:$F$38,MATCH('DAA Media Plan'!$D$9,'INPUTS - START HERE'!$A$35:$A$38,0),MATCH('DAA Media Plan'!$E$9,'INPUTS - START HERE'!$A$35:$F$35,0))</f>
        <v>0</v>
      </c>
      <c r="N9" s="67">
        <f>'INPUTS - START HERE'!$B$13*VLOOKUP('DAA Media Plan'!N3,'INPUTS - START HERE'!$A$20:$B$31,2,0)*INDEX('INPUTS - START HERE'!$A$35:$F$38,MATCH('DAA Media Plan'!$D$9,'INPUTS - START HERE'!$A$35:$A$38,0),MATCH('DAA Media Plan'!$E$9,'INPUTS - START HERE'!$A$35:$F$35,0))</f>
        <v>0</v>
      </c>
      <c r="O9" s="67">
        <f>'INPUTS - START HERE'!$B$13*VLOOKUP('DAA Media Plan'!O3,'INPUTS - START HERE'!$A$20:$B$31,2,0)*INDEX('INPUTS - START HERE'!$A$35:$F$38,MATCH('DAA Media Plan'!$D$9,'INPUTS - START HERE'!$A$35:$A$38,0),MATCH('DAA Media Plan'!$E$9,'INPUTS - START HERE'!$A$35:$F$35,0))</f>
        <v>0</v>
      </c>
      <c r="P9" s="67">
        <f>'INPUTS - START HERE'!$B$13*VLOOKUP('DAA Media Plan'!P3,'INPUTS - START HERE'!$A$20:$B$31,2,0)*INDEX('INPUTS - START HERE'!$A$35:$F$38,MATCH('DAA Media Plan'!$D$9,'INPUTS - START HERE'!$A$35:$A$38,0),MATCH('DAA Media Plan'!$E$9,'INPUTS - START HERE'!$A$35:$F$35,0))</f>
        <v>0</v>
      </c>
      <c r="Q9" s="67">
        <f>'INPUTS - START HERE'!$B$13*VLOOKUP('DAA Media Plan'!Q3,'INPUTS - START HERE'!$A$20:$B$31,2,0)*INDEX('INPUTS - START HERE'!$A$35:$F$38,MATCH('DAA Media Plan'!$D$9,'INPUTS - START HERE'!$A$35:$A$38,0),MATCH('DAA Media Plan'!$E$9,'INPUTS - START HERE'!$A$35:$F$35,0))</f>
        <v>0</v>
      </c>
      <c r="R9" s="68">
        <f t="shared" si="1"/>
        <v>0</v>
      </c>
    </row>
    <row r="10" spans="2:18" x14ac:dyDescent="0.35">
      <c r="B10" s="50"/>
      <c r="C10" s="49"/>
      <c r="D10" s="12" t="s">
        <v>17</v>
      </c>
      <c r="E10" s="12" t="s">
        <v>20</v>
      </c>
      <c r="F10" s="67">
        <f>SUM('INPUTS - START HERE'!$B$8:$B$9)*VLOOKUP('DAA Media Plan'!F3,'INPUTS - START HERE'!$A$20:$B$31,2,FALSE)*INDEX('INPUTS - START HERE'!$A$35:$F$38,MATCH('DAA Media Plan'!$D$10,'INPUTS - START HERE'!$A$35:$A$38,0),MATCH('DAA Media Plan'!$E$10,'INPUTS - START HERE'!$A$35:$F$35,0))</f>
        <v>0</v>
      </c>
      <c r="G10" s="67">
        <f>SUM('INPUTS - START HERE'!$B$8:$B$9)*VLOOKUP('DAA Media Plan'!G3,'INPUTS - START HERE'!$A$20:$B$31,2,FALSE)*INDEX('INPUTS - START HERE'!$A$35:$F$38,MATCH('DAA Media Plan'!$D$10,'INPUTS - START HERE'!$A$35:$A$38,0),MATCH('DAA Media Plan'!$E$10,'INPUTS - START HERE'!$A$35:$F$35,0))</f>
        <v>0</v>
      </c>
      <c r="H10" s="67">
        <f>SUM('INPUTS - START HERE'!$B$8:$B$9)*VLOOKUP('DAA Media Plan'!H3,'INPUTS - START HERE'!$A$20:$B$31,2,FALSE)*INDEX('INPUTS - START HERE'!$A$35:$F$38,MATCH('DAA Media Plan'!$D$10,'INPUTS - START HERE'!$A$35:$A$38,0),MATCH('DAA Media Plan'!$E$10,'INPUTS - START HERE'!$A$35:$F$35,0))</f>
        <v>0</v>
      </c>
      <c r="I10" s="67">
        <f>SUM('INPUTS - START HERE'!$B$8:$B$9)*VLOOKUP('DAA Media Plan'!I3,'INPUTS - START HERE'!$A$20:$B$31,2,FALSE)*INDEX('INPUTS - START HERE'!$A$35:$F$38,MATCH('DAA Media Plan'!$D$10,'INPUTS - START HERE'!$A$35:$A$38,0),MATCH('DAA Media Plan'!$E$10,'INPUTS - START HERE'!$A$35:$F$35,0))</f>
        <v>0</v>
      </c>
      <c r="J10" s="67">
        <f>SUM('INPUTS - START HERE'!$B$8:$B$9)*VLOOKUP('DAA Media Plan'!J3,'INPUTS - START HERE'!$A$20:$B$31,2,FALSE)*INDEX('INPUTS - START HERE'!$A$35:$F$38,MATCH('DAA Media Plan'!$D$10,'INPUTS - START HERE'!$A$35:$A$38,0),MATCH('DAA Media Plan'!$E$10,'INPUTS - START HERE'!$A$35:$F$35,0))</f>
        <v>0</v>
      </c>
      <c r="K10" s="67">
        <f>SUM('INPUTS - START HERE'!$B$8:$B$9)*VLOOKUP('DAA Media Plan'!K3,'INPUTS - START HERE'!$A$20:$B$31,2,FALSE)*INDEX('INPUTS - START HERE'!$A$35:$F$38,MATCH('DAA Media Plan'!$D$10,'INPUTS - START HERE'!$A$35:$A$38,0),MATCH('DAA Media Plan'!$E$10,'INPUTS - START HERE'!$A$35:$F$35,0))</f>
        <v>0</v>
      </c>
      <c r="L10" s="67">
        <f>SUM('INPUTS - START HERE'!$B$8:$B$9)*VLOOKUP('DAA Media Plan'!L3,'INPUTS - START HERE'!$A$20:$B$31,2,FALSE)*INDEX('INPUTS - START HERE'!$A$35:$F$38,MATCH('DAA Media Plan'!$D$10,'INPUTS - START HERE'!$A$35:$A$38,0),MATCH('DAA Media Plan'!$E$10,'INPUTS - START HERE'!$A$35:$F$35,0))</f>
        <v>0</v>
      </c>
      <c r="M10" s="67">
        <f>SUM('INPUTS - START HERE'!$B$8:$B$9)*VLOOKUP('DAA Media Plan'!M3,'INPUTS - START HERE'!$A$20:$B$31,2,FALSE)*INDEX('INPUTS - START HERE'!$A$35:$F$38,MATCH('DAA Media Plan'!$D$10,'INPUTS - START HERE'!$A$35:$A$38,0),MATCH('DAA Media Plan'!$E$10,'INPUTS - START HERE'!$A$35:$F$35,0))</f>
        <v>0</v>
      </c>
      <c r="N10" s="67">
        <f>SUM('INPUTS - START HERE'!$B$8:$B$9)*VLOOKUP('DAA Media Plan'!N3,'INPUTS - START HERE'!$A$20:$B$31,2,FALSE)*INDEX('INPUTS - START HERE'!$A$35:$F$38,MATCH('DAA Media Plan'!$D$10,'INPUTS - START HERE'!$A$35:$A$38,0),MATCH('DAA Media Plan'!$E$10,'INPUTS - START HERE'!$A$35:$F$35,0))</f>
        <v>0</v>
      </c>
      <c r="O10" s="67">
        <f>SUM('INPUTS - START HERE'!$B$8:$B$9)*VLOOKUP('DAA Media Plan'!O3,'INPUTS - START HERE'!$A$20:$B$31,2,FALSE)*INDEX('INPUTS - START HERE'!$A$35:$F$38,MATCH('DAA Media Plan'!$D$10,'INPUTS - START HERE'!$A$35:$A$38,0),MATCH('DAA Media Plan'!$E$10,'INPUTS - START HERE'!$A$35:$F$35,0))</f>
        <v>0</v>
      </c>
      <c r="P10" s="67">
        <f>SUM('INPUTS - START HERE'!$B$8:$B$9)*VLOOKUP('DAA Media Plan'!P3,'INPUTS - START HERE'!$A$20:$B$31,2,FALSE)*INDEX('INPUTS - START HERE'!$A$35:$F$38,MATCH('DAA Media Plan'!$D$10,'INPUTS - START HERE'!$A$35:$A$38,0),MATCH('DAA Media Plan'!$E$10,'INPUTS - START HERE'!$A$35:$F$35,0))</f>
        <v>0</v>
      </c>
      <c r="Q10" s="67">
        <f>SUM('INPUTS - START HERE'!$B$8:$B$9)*VLOOKUP('DAA Media Plan'!Q3,'INPUTS - START HERE'!$A$20:$B$31,2,FALSE)*INDEX('INPUTS - START HERE'!$A$35:$F$38,MATCH('DAA Media Plan'!$D$10,'INPUTS - START HERE'!$A$35:$A$38,0),MATCH('DAA Media Plan'!$E$10,'INPUTS - START HERE'!$A$35:$F$35,0))</f>
        <v>0</v>
      </c>
      <c r="R10" s="68">
        <f t="shared" si="1"/>
        <v>0</v>
      </c>
    </row>
    <row r="11" spans="2:18" x14ac:dyDescent="0.35">
      <c r="B11" s="50"/>
      <c r="C11" s="49"/>
      <c r="D11" s="12" t="s">
        <v>17</v>
      </c>
      <c r="E11" s="12" t="s">
        <v>61</v>
      </c>
      <c r="F11" s="67">
        <f>'INPUTS - START HERE'!$B$10*VLOOKUP('DAA Media Plan'!F3,'INPUTS - START HERE'!$A$20:$B$31,2,FALSE)*INDEX('INPUTS - START HERE'!$A$35:$F$38,MATCH('DAA Media Plan'!$D$11,'INPUTS - START HERE'!$A$35:$A$38,0),MATCH('DAA Media Plan'!$E$11,'INPUTS - START HERE'!$A$35:$F$35,0))</f>
        <v>0</v>
      </c>
      <c r="G11" s="67">
        <f>'INPUTS - START HERE'!$B$10*VLOOKUP('DAA Media Plan'!G3,'INPUTS - START HERE'!$A$20:$B$31,2,FALSE)*INDEX('INPUTS - START HERE'!$A$35:$F$38,MATCH('DAA Media Plan'!$D$11,'INPUTS - START HERE'!$A$35:$A$38,0),MATCH('DAA Media Plan'!$E$11,'INPUTS - START HERE'!$A$35:$F$35,0))</f>
        <v>0</v>
      </c>
      <c r="H11" s="67">
        <f>'INPUTS - START HERE'!$B$10*VLOOKUP('DAA Media Plan'!H3,'INPUTS - START HERE'!$A$20:$B$31,2,FALSE)*INDEX('INPUTS - START HERE'!$A$35:$F$38,MATCH('DAA Media Plan'!$D$11,'INPUTS - START HERE'!$A$35:$A$38,0),MATCH('DAA Media Plan'!$E$11,'INPUTS - START HERE'!$A$35:$F$35,0))</f>
        <v>0</v>
      </c>
      <c r="I11" s="67">
        <f>'INPUTS - START HERE'!$B$10*VLOOKUP('DAA Media Plan'!I3,'INPUTS - START HERE'!$A$20:$B$31,2,FALSE)*INDEX('INPUTS - START HERE'!$A$35:$F$38,MATCH('DAA Media Plan'!$D$11,'INPUTS - START HERE'!$A$35:$A$38,0),MATCH('DAA Media Plan'!$E$11,'INPUTS - START HERE'!$A$35:$F$35,0))</f>
        <v>0</v>
      </c>
      <c r="J11" s="67">
        <f>'INPUTS - START HERE'!$B$10*VLOOKUP('DAA Media Plan'!J3,'INPUTS - START HERE'!$A$20:$B$31,2,FALSE)*INDEX('INPUTS - START HERE'!$A$35:$F$38,MATCH('DAA Media Plan'!$D$11,'INPUTS - START HERE'!$A$35:$A$38,0),MATCH('DAA Media Plan'!$E$11,'INPUTS - START HERE'!$A$35:$F$35,0))</f>
        <v>0</v>
      </c>
      <c r="K11" s="67">
        <f>'INPUTS - START HERE'!$B$10*VLOOKUP('DAA Media Plan'!K3,'INPUTS - START HERE'!$A$20:$B$31,2,FALSE)*INDEX('INPUTS - START HERE'!$A$35:$F$38,MATCH('DAA Media Plan'!$D$11,'INPUTS - START HERE'!$A$35:$A$38,0),MATCH('DAA Media Plan'!$E$11,'INPUTS - START HERE'!$A$35:$F$35,0))</f>
        <v>0</v>
      </c>
      <c r="L11" s="67">
        <f>'INPUTS - START HERE'!$B$10*VLOOKUP('DAA Media Plan'!L3,'INPUTS - START HERE'!$A$20:$B$31,2,FALSE)*INDEX('INPUTS - START HERE'!$A$35:$F$38,MATCH('DAA Media Plan'!$D$11,'INPUTS - START HERE'!$A$35:$A$38,0),MATCH('DAA Media Plan'!$E$11,'INPUTS - START HERE'!$A$35:$F$35,0))</f>
        <v>0</v>
      </c>
      <c r="M11" s="67">
        <f>'INPUTS - START HERE'!$B$10*VLOOKUP('DAA Media Plan'!M3,'INPUTS - START HERE'!$A$20:$B$31,2,FALSE)*INDEX('INPUTS - START HERE'!$A$35:$F$38,MATCH('DAA Media Plan'!$D$11,'INPUTS - START HERE'!$A$35:$A$38,0),MATCH('DAA Media Plan'!$E$11,'INPUTS - START HERE'!$A$35:$F$35,0))</f>
        <v>0</v>
      </c>
      <c r="N11" s="67">
        <f>'INPUTS - START HERE'!$B$10*VLOOKUP('DAA Media Plan'!N3,'INPUTS - START HERE'!$A$20:$B$31,2,FALSE)*INDEX('INPUTS - START HERE'!$A$35:$F$38,MATCH('DAA Media Plan'!$D$11,'INPUTS - START HERE'!$A$35:$A$38,0),MATCH('DAA Media Plan'!$E$11,'INPUTS - START HERE'!$A$35:$F$35,0))</f>
        <v>0</v>
      </c>
      <c r="O11" s="67">
        <f>'INPUTS - START HERE'!$B$10*VLOOKUP('DAA Media Plan'!O3,'INPUTS - START HERE'!$A$20:$B$31,2,FALSE)*INDEX('INPUTS - START HERE'!$A$35:$F$38,MATCH('DAA Media Plan'!$D$11,'INPUTS - START HERE'!$A$35:$A$38,0),MATCH('DAA Media Plan'!$E$11,'INPUTS - START HERE'!$A$35:$F$35,0))</f>
        <v>0</v>
      </c>
      <c r="P11" s="67">
        <f>'INPUTS - START HERE'!$B$10*VLOOKUP('DAA Media Plan'!P3,'INPUTS - START HERE'!$A$20:$B$31,2,FALSE)*INDEX('INPUTS - START HERE'!$A$35:$F$38,MATCH('DAA Media Plan'!$D$11,'INPUTS - START HERE'!$A$35:$A$38,0),MATCH('DAA Media Plan'!$E$11,'INPUTS - START HERE'!$A$35:$F$35,0))</f>
        <v>0</v>
      </c>
      <c r="Q11" s="67">
        <f>'INPUTS - START HERE'!$B$10*VLOOKUP('DAA Media Plan'!Q3,'INPUTS - START HERE'!$A$20:$B$31,2,FALSE)*INDEX('INPUTS - START HERE'!$A$35:$F$38,MATCH('DAA Media Plan'!$D$11,'INPUTS - START HERE'!$A$35:$A$38,0),MATCH('DAA Media Plan'!$E$11,'INPUTS - START HERE'!$A$35:$F$35,0))</f>
        <v>0</v>
      </c>
      <c r="R11" s="68">
        <f t="shared" si="1"/>
        <v>0</v>
      </c>
    </row>
    <row r="12" spans="2:18" x14ac:dyDescent="0.35">
      <c r="B12" s="50"/>
      <c r="C12" s="49"/>
      <c r="D12" s="13" t="s">
        <v>18</v>
      </c>
      <c r="E12" s="13" t="s">
        <v>22</v>
      </c>
      <c r="F12" s="69">
        <f>'INPUTS - START HERE'!$B$6*VLOOKUP('DAA Media Plan'!F3,'INPUTS - START HERE'!$A$20:$B$31,2,FALSE)*INDEX('INPUTS - START HERE'!$A$35:$F$38,MATCH('DAA Media Plan'!$D$12,'INPUTS - START HERE'!$A$35:$A$38,0),MATCH('DAA Media Plan'!$E$12,'INPUTS - START HERE'!$A$35:$F$35,0))</f>
        <v>1065759.2981577879</v>
      </c>
      <c r="G12" s="69">
        <f>'INPUTS - START HERE'!$B$6*VLOOKUP('DAA Media Plan'!G3,'INPUTS - START HERE'!$A$20:$B$31,2,FALSE)*INDEX('INPUTS - START HERE'!$A$35:$F$38,MATCH('DAA Media Plan'!$D$12,'INPUTS - START HERE'!$A$35:$A$38,0),MATCH('DAA Media Plan'!$E$12,'INPUTS - START HERE'!$A$35:$F$35,0))</f>
        <v>1225623.1928814561</v>
      </c>
      <c r="H12" s="69">
        <f>'INPUTS - START HERE'!$B$6*VLOOKUP('DAA Media Plan'!H3,'INPUTS - START HERE'!$A$20:$B$31,2,FALSE)*INDEX('INPUTS - START HERE'!$A$35:$F$38,MATCH('DAA Media Plan'!$D$12,'INPUTS - START HERE'!$A$35:$A$38,0),MATCH('DAA Media Plan'!$E$12,'INPUTS - START HERE'!$A$35:$F$35,0))</f>
        <v>1470747.8314577471</v>
      </c>
      <c r="I12" s="69">
        <f>'INPUTS - START HERE'!$B$6*VLOOKUP('DAA Media Plan'!I3,'INPUTS - START HERE'!$A$20:$B$31,2,FALSE)*INDEX('INPUTS - START HERE'!$A$35:$F$38,MATCH('DAA Media Plan'!$D$12,'INPUTS - START HERE'!$A$35:$A$38,0),MATCH('DAA Media Plan'!$E$12,'INPUTS - START HERE'!$A$35:$F$35,0))</f>
        <v>1691360.0061764093</v>
      </c>
      <c r="J12" s="69">
        <f>'INPUTS - START HERE'!$B$6*VLOOKUP('DAA Media Plan'!J3,'INPUTS - START HERE'!$A$20:$B$31,2,FALSE)*INDEX('INPUTS - START HERE'!$A$35:$F$38,MATCH('DAA Media Plan'!$D$12,'INPUTS - START HERE'!$A$35:$A$38,0),MATCH('DAA Media Plan'!$E$12,'INPUTS - START HERE'!$A$35:$F$35,0))</f>
        <v>1945064.0071028708</v>
      </c>
      <c r="K12" s="69">
        <f>'INPUTS - START HERE'!$B$6*VLOOKUP('DAA Media Plan'!K3,'INPUTS - START HERE'!$A$20:$B$31,2,FALSE)*INDEX('INPUTS - START HERE'!$A$35:$F$38,MATCH('DAA Media Plan'!$D$12,'INPUTS - START HERE'!$A$35:$A$38,0),MATCH('DAA Media Plan'!$E$12,'INPUTS - START HERE'!$A$35:$F$35,0))</f>
        <v>2236823.6081683016</v>
      </c>
      <c r="L12" s="69">
        <f>'INPUTS - START HERE'!$B$6*VLOOKUP('DAA Media Plan'!L3,'INPUTS - START HERE'!$A$20:$B$31,2,FALSE)*INDEX('INPUTS - START HERE'!$A$35:$F$38,MATCH('DAA Media Plan'!$D$12,'INPUTS - START HERE'!$A$35:$A$38,0),MATCH('DAA Media Plan'!$E$12,'INPUTS - START HERE'!$A$35:$F$35,0))</f>
        <v>2907870.7103550751</v>
      </c>
      <c r="M12" s="69">
        <f>'INPUTS - START HERE'!$B$6*VLOOKUP('DAA Media Plan'!M3,'INPUTS - START HERE'!$A$20:$B$31,2,FALSE)*INDEX('INPUTS - START HERE'!$A$35:$F$38,MATCH('DAA Media Plan'!$D$12,'INPUTS - START HERE'!$A$35:$A$38,0),MATCH('DAA Media Plan'!$E$12,'INPUTS - START HERE'!$A$35:$F$35,0))</f>
        <v>3344051.3045731592</v>
      </c>
      <c r="N12" s="69">
        <f>'INPUTS - START HERE'!$B$6*VLOOKUP('DAA Media Plan'!N3,'INPUTS - START HERE'!$A$20:$B$31,2,FALSE)*INDEX('INPUTS - START HERE'!$A$35:$F$38,MATCH('DAA Media Plan'!$D$12,'INPUTS - START HERE'!$A$35:$A$38,0),MATCH('DAA Media Plan'!$E$12,'INPUTS - START HERE'!$A$35:$F$35,0))</f>
        <v>3845659.0101272753</v>
      </c>
      <c r="O12" s="69">
        <f>'INPUTS - START HERE'!$B$6*VLOOKUP('DAA Media Plan'!O3,'INPUTS - START HERE'!$A$20:$B$31,2,FALSE)*INDEX('INPUTS - START HERE'!$A$35:$F$38,MATCH('DAA Media Plan'!$D$12,'INPUTS - START HERE'!$A$35:$A$38,0),MATCH('DAA Media Plan'!$E$12,'INPUTS - START HERE'!$A$35:$F$35,0))</f>
        <v>4614790.802284589</v>
      </c>
      <c r="P12" s="69">
        <f>'INPUTS - START HERE'!$B$6*VLOOKUP('DAA Media Plan'!P3,'INPUTS - START HERE'!$A$20:$B$31,2,FALSE)*INDEX('INPUTS - START HERE'!$A$35:$F$38,MATCH('DAA Media Plan'!$D$12,'INPUTS - START HERE'!$A$35:$A$38,0),MATCH('DAA Media Plan'!$E$12,'INPUTS - START HERE'!$A$35:$F$35,0))</f>
        <v>5768488.4658502052</v>
      </c>
      <c r="Q12" s="69">
        <f>'INPUTS - START HERE'!$B$6*VLOOKUP('DAA Media Plan'!Q3,'INPUTS - START HERE'!$A$20:$B$31,2,FALSE)*INDEX('INPUTS - START HERE'!$A$35:$F$38,MATCH('DAA Media Plan'!$D$12,'INPUTS - START HERE'!$A$35:$A$38,0),MATCH('DAA Media Plan'!$E$12,'INPUTS - START HERE'!$A$35:$F$35,0))</f>
        <v>6633761.7628651252</v>
      </c>
      <c r="R12" s="70">
        <f t="shared" si="1"/>
        <v>36750000</v>
      </c>
    </row>
    <row r="13" spans="2:18" x14ac:dyDescent="0.35">
      <c r="B13" s="50"/>
      <c r="C13" s="49"/>
      <c r="D13" s="13" t="s">
        <v>18</v>
      </c>
      <c r="E13" s="13" t="s">
        <v>20</v>
      </c>
      <c r="F13" s="69">
        <f>SUM('INPUTS - START HERE'!$B$8:$B$9)*VLOOKUP('DAA Media Plan'!F3,'INPUTS - START HERE'!$A$20:$B$31,2,FALSE)*INDEX('INPUTS - START HERE'!$A$35:$F$38,MATCH('DAA Media Plan'!$D$13,'INPUTS - START HERE'!$A$35:$A$38,0),MATCH('DAA Media Plan'!$E$13,'INPUTS - START HERE'!$A$35:$F$35,0))</f>
        <v>145001.26505548134</v>
      </c>
      <c r="G13" s="69">
        <f>SUM('INPUTS - START HERE'!$B$8:$B$9)*VLOOKUP('DAA Media Plan'!G3,'INPUTS - START HERE'!$A$20:$B$31,2,FALSE)*INDEX('INPUTS - START HERE'!$A$35:$F$38,MATCH('DAA Media Plan'!$D$13,'INPUTS - START HERE'!$A$35:$A$38,0),MATCH('DAA Media Plan'!$E$13,'INPUTS - START HERE'!$A$35:$F$35,0))</f>
        <v>166751.45481380355</v>
      </c>
      <c r="H13" s="69">
        <f>SUM('INPUTS - START HERE'!$B$8:$B$9)*VLOOKUP('DAA Media Plan'!H3,'INPUTS - START HERE'!$A$20:$B$31,2,FALSE)*INDEX('INPUTS - START HERE'!$A$35:$F$38,MATCH('DAA Media Plan'!$D$13,'INPUTS - START HERE'!$A$35:$A$38,0),MATCH('DAA Media Plan'!$E$13,'INPUTS - START HERE'!$A$35:$F$35,0))</f>
        <v>200101.74577656426</v>
      </c>
      <c r="I13" s="69">
        <f>SUM('INPUTS - START HERE'!$B$8:$B$9)*VLOOKUP('DAA Media Plan'!I3,'INPUTS - START HERE'!$A$20:$B$31,2,FALSE)*INDEX('INPUTS - START HERE'!$A$35:$F$38,MATCH('DAA Media Plan'!$D$13,'INPUTS - START HERE'!$A$35:$A$38,0),MATCH('DAA Media Plan'!$E$13,'INPUTS - START HERE'!$A$35:$F$35,0))</f>
        <v>230117.00764304888</v>
      </c>
      <c r="J13" s="69">
        <f>SUM('INPUTS - START HERE'!$B$8:$B$9)*VLOOKUP('DAA Media Plan'!J3,'INPUTS - START HERE'!$A$20:$B$31,2,FALSE)*INDEX('INPUTS - START HERE'!$A$35:$F$38,MATCH('DAA Media Plan'!$D$13,'INPUTS - START HERE'!$A$35:$A$38,0),MATCH('DAA Media Plan'!$E$13,'INPUTS - START HERE'!$A$35:$F$35,0))</f>
        <v>264634.55878950626</v>
      </c>
      <c r="K13" s="69">
        <f>SUM('INPUTS - START HERE'!$B$8:$B$9)*VLOOKUP('DAA Media Plan'!K3,'INPUTS - START HERE'!$A$20:$B$31,2,FALSE)*INDEX('INPUTS - START HERE'!$A$35:$F$38,MATCH('DAA Media Plan'!$D$13,'INPUTS - START HERE'!$A$35:$A$38,0),MATCH('DAA Media Plan'!$E$13,'INPUTS - START HERE'!$A$35:$F$35,0))</f>
        <v>304329.74260793219</v>
      </c>
      <c r="L13" s="69">
        <f>SUM('INPUTS - START HERE'!$B$8:$B$9)*VLOOKUP('DAA Media Plan'!L3,'INPUTS - START HERE'!$A$20:$B$31,2,FALSE)*INDEX('INPUTS - START HERE'!$A$35:$F$38,MATCH('DAA Media Plan'!$D$13,'INPUTS - START HERE'!$A$35:$A$38,0),MATCH('DAA Media Plan'!$E$13,'INPUTS - START HERE'!$A$35:$F$35,0))</f>
        <v>395628.66807552043</v>
      </c>
      <c r="M13" s="69">
        <f>SUM('INPUTS - START HERE'!$B$8:$B$9)*VLOOKUP('DAA Media Plan'!M3,'INPUTS - START HERE'!$A$20:$B$31,2,FALSE)*INDEX('INPUTS - START HERE'!$A$35:$F$38,MATCH('DAA Media Plan'!$D$13,'INPUTS - START HERE'!$A$35:$A$38,0),MATCH('DAA Media Plan'!$E$13,'INPUTS - START HERE'!$A$35:$F$35,0))</f>
        <v>454972.96660859312</v>
      </c>
      <c r="N13" s="69">
        <f>SUM('INPUTS - START HERE'!$B$8:$B$9)*VLOOKUP('DAA Media Plan'!N3,'INPUTS - START HERE'!$A$20:$B$31,2,FALSE)*INDEX('INPUTS - START HERE'!$A$35:$F$38,MATCH('DAA Media Plan'!$D$13,'INPUTS - START HERE'!$A$35:$A$38,0),MATCH('DAA Media Plan'!$E$13,'INPUTS - START HERE'!$A$35:$F$35,0))</f>
        <v>523218.91294248641</v>
      </c>
      <c r="O13" s="69">
        <f>SUM('INPUTS - START HERE'!$B$8:$B$9)*VLOOKUP('DAA Media Plan'!O3,'INPUTS - START HERE'!$A$20:$B$31,2,FALSE)*INDEX('INPUTS - START HERE'!$A$35:$F$38,MATCH('DAA Media Plan'!$D$13,'INPUTS - START HERE'!$A$35:$A$38,0),MATCH('DAA Media Plan'!$E$13,'INPUTS - START HERE'!$A$35:$F$35,0))</f>
        <v>627862.69418837945</v>
      </c>
      <c r="P13" s="69">
        <f>SUM('INPUTS - START HERE'!$B$8:$B$9)*VLOOKUP('DAA Media Plan'!P3,'INPUTS - START HERE'!$A$20:$B$31,2,FALSE)*INDEX('INPUTS - START HERE'!$A$35:$F$38,MATCH('DAA Media Plan'!$D$13,'INPUTS - START HERE'!$A$35:$A$38,0),MATCH('DAA Media Plan'!$E$13,'INPUTS - START HERE'!$A$35:$F$35,0))</f>
        <v>784828.36270070809</v>
      </c>
      <c r="Q13" s="69">
        <f>SUM('INPUTS - START HERE'!$B$8:$B$9)*VLOOKUP('DAA Media Plan'!Q3,'INPUTS - START HERE'!$A$20:$B$31,2,FALSE)*INDEX('INPUTS - START HERE'!$A$35:$F$38,MATCH('DAA Media Plan'!$D$13,'INPUTS - START HERE'!$A$35:$A$38,0),MATCH('DAA Media Plan'!$E$13,'INPUTS - START HERE'!$A$35:$F$35,0))</f>
        <v>902552.62079797615</v>
      </c>
      <c r="R13" s="70">
        <f t="shared" si="1"/>
        <v>5000000</v>
      </c>
    </row>
    <row r="14" spans="2:18" x14ac:dyDescent="0.35">
      <c r="B14" s="50"/>
      <c r="C14" s="49"/>
      <c r="D14" s="13" t="s">
        <v>18</v>
      </c>
      <c r="E14" s="13" t="s">
        <v>61</v>
      </c>
      <c r="F14" s="69">
        <f>'INPUTS - START HERE'!$B$10*VLOOKUP('DAA Media Plan'!F3,'INPUTS - START HERE'!$A$20:$B$31,2,0)*INDEX('INPUTS - START HERE'!$A$35:$F$38,MATCH('DAA Media Plan'!$D$14,'INPUTS - START HERE'!$A$35:$A$38,0),MATCH('DAA Media Plan'!$E$14,'INPUTS - START HERE'!$A$35:$F$35,0))</f>
        <v>145001.26505548134</v>
      </c>
      <c r="G14" s="69">
        <f>'INPUTS - START HERE'!$B$10*VLOOKUP('DAA Media Plan'!G3,'INPUTS - START HERE'!$A$20:$B$31,2,0)*INDEX('INPUTS - START HERE'!$A$35:$F$38,MATCH('DAA Media Plan'!$D$14,'INPUTS - START HERE'!$A$35:$A$38,0),MATCH('DAA Media Plan'!$E$14,'INPUTS - START HERE'!$A$35:$F$35,0))</f>
        <v>166751.45481380355</v>
      </c>
      <c r="H14" s="69">
        <f>'INPUTS - START HERE'!$B$10*VLOOKUP('DAA Media Plan'!H3,'INPUTS - START HERE'!$A$20:$B$31,2,0)*INDEX('INPUTS - START HERE'!$A$35:$F$38,MATCH('DAA Media Plan'!$D$14,'INPUTS - START HERE'!$A$35:$A$38,0),MATCH('DAA Media Plan'!$E$14,'INPUTS - START HERE'!$A$35:$F$35,0))</f>
        <v>200101.74577656426</v>
      </c>
      <c r="I14" s="69">
        <f>'INPUTS - START HERE'!$B$10*VLOOKUP('DAA Media Plan'!I3,'INPUTS - START HERE'!$A$20:$B$31,2,0)*INDEX('INPUTS - START HERE'!$A$35:$F$38,MATCH('DAA Media Plan'!$D$14,'INPUTS - START HERE'!$A$35:$A$38,0),MATCH('DAA Media Plan'!$E$14,'INPUTS - START HERE'!$A$35:$F$35,0))</f>
        <v>230117.00764304888</v>
      </c>
      <c r="J14" s="69">
        <f>'INPUTS - START HERE'!$B$10*VLOOKUP('DAA Media Plan'!J3,'INPUTS - START HERE'!$A$20:$B$31,2,0)*INDEX('INPUTS - START HERE'!$A$35:$F$38,MATCH('DAA Media Plan'!$D$14,'INPUTS - START HERE'!$A$35:$A$38,0),MATCH('DAA Media Plan'!$E$14,'INPUTS - START HERE'!$A$35:$F$35,0))</f>
        <v>264634.55878950626</v>
      </c>
      <c r="K14" s="69">
        <f>'INPUTS - START HERE'!$B$10*VLOOKUP('DAA Media Plan'!K3,'INPUTS - START HERE'!$A$20:$B$31,2,0)*INDEX('INPUTS - START HERE'!$A$35:$F$38,MATCH('DAA Media Plan'!$D$14,'INPUTS - START HERE'!$A$35:$A$38,0),MATCH('DAA Media Plan'!$E$14,'INPUTS - START HERE'!$A$35:$F$35,0))</f>
        <v>304329.74260793219</v>
      </c>
      <c r="L14" s="69">
        <f>'INPUTS - START HERE'!$B$10*VLOOKUP('DAA Media Plan'!L3,'INPUTS - START HERE'!$A$20:$B$31,2,0)*INDEX('INPUTS - START HERE'!$A$35:$F$38,MATCH('DAA Media Plan'!$D$14,'INPUTS - START HERE'!$A$35:$A$38,0),MATCH('DAA Media Plan'!$E$14,'INPUTS - START HERE'!$A$35:$F$35,0))</f>
        <v>395628.66807552043</v>
      </c>
      <c r="M14" s="69">
        <f>'INPUTS - START HERE'!$B$10*VLOOKUP('DAA Media Plan'!M3,'INPUTS - START HERE'!$A$20:$B$31,2,0)*INDEX('INPUTS - START HERE'!$A$35:$F$38,MATCH('DAA Media Plan'!$D$14,'INPUTS - START HERE'!$A$35:$A$38,0),MATCH('DAA Media Plan'!$E$14,'INPUTS - START HERE'!$A$35:$F$35,0))</f>
        <v>454972.96660859312</v>
      </c>
      <c r="N14" s="69">
        <f>'INPUTS - START HERE'!$B$10*VLOOKUP('DAA Media Plan'!N3,'INPUTS - START HERE'!$A$20:$B$31,2,0)*INDEX('INPUTS - START HERE'!$A$35:$F$38,MATCH('DAA Media Plan'!$D$14,'INPUTS - START HERE'!$A$35:$A$38,0),MATCH('DAA Media Plan'!$E$14,'INPUTS - START HERE'!$A$35:$F$35,0))</f>
        <v>523218.91294248641</v>
      </c>
      <c r="O14" s="69">
        <f>'INPUTS - START HERE'!$B$10*VLOOKUP('DAA Media Plan'!O3,'INPUTS - START HERE'!$A$20:$B$31,2,0)*INDEX('INPUTS - START HERE'!$A$35:$F$38,MATCH('DAA Media Plan'!$D$14,'INPUTS - START HERE'!$A$35:$A$38,0),MATCH('DAA Media Plan'!$E$14,'INPUTS - START HERE'!$A$35:$F$35,0))</f>
        <v>627862.69418837945</v>
      </c>
      <c r="P14" s="69">
        <f>'INPUTS - START HERE'!$B$10*VLOOKUP('DAA Media Plan'!P3,'INPUTS - START HERE'!$A$20:$B$31,2,0)*INDEX('INPUTS - START HERE'!$A$35:$F$38,MATCH('DAA Media Plan'!$D$14,'INPUTS - START HERE'!$A$35:$A$38,0),MATCH('DAA Media Plan'!$E$14,'INPUTS - START HERE'!$A$35:$F$35,0))</f>
        <v>784828.36270070809</v>
      </c>
      <c r="Q14" s="69">
        <f>'INPUTS - START HERE'!$B$10*VLOOKUP('DAA Media Plan'!Q3,'INPUTS - START HERE'!$A$20:$B$31,2,0)*INDEX('INPUTS - START HERE'!$A$35:$F$38,MATCH('DAA Media Plan'!$D$14,'INPUTS - START HERE'!$A$35:$A$38,0),MATCH('DAA Media Plan'!$E$14,'INPUTS - START HERE'!$A$35:$F$35,0))</f>
        <v>902552.62079797615</v>
      </c>
      <c r="R14" s="70">
        <f t="shared" si="1"/>
        <v>5000000</v>
      </c>
    </row>
    <row r="15" spans="2:18" x14ac:dyDescent="0.35">
      <c r="B15" s="50"/>
      <c r="C15" s="49"/>
      <c r="D15" s="13" t="s">
        <v>18</v>
      </c>
      <c r="E15" s="13" t="s">
        <v>19</v>
      </c>
      <c r="F15" s="69">
        <f>'INPUTS - START HERE'!$B$12*VLOOKUP('DAA Media Plan'!F3,'INPUTS - START HERE'!$A$20:$B$31,2,0)*INDEX('INPUTS - START HERE'!$A$35:$F$38,MATCH('DAA Media Plan'!$D$15,'INPUTS - START HERE'!$A$35:$A$38,0),MATCH('DAA Media Plan'!$E$15,'INPUTS - START HERE'!$A$35:$F$35,0))</f>
        <v>23925.208734154421</v>
      </c>
      <c r="G15" s="69">
        <f>'INPUTS - START HERE'!$B$12*VLOOKUP('DAA Media Plan'!G3,'INPUTS - START HERE'!$A$20:$B$31,2,0)*INDEX('INPUTS - START HERE'!$A$35:$F$38,MATCH('DAA Media Plan'!$D$15,'INPUTS - START HERE'!$A$35:$A$38,0),MATCH('DAA Media Plan'!$E$15,'INPUTS - START HERE'!$A$35:$F$35,0))</f>
        <v>27513.990044277583</v>
      </c>
      <c r="H15" s="69">
        <f>'INPUTS - START HERE'!$B$12*VLOOKUP('DAA Media Plan'!H3,'INPUTS - START HERE'!$A$20:$B$31,2,0)*INDEX('INPUTS - START HERE'!$A$35:$F$38,MATCH('DAA Media Plan'!$D$15,'INPUTS - START HERE'!$A$35:$A$38,0),MATCH('DAA Media Plan'!$E$15,'INPUTS - START HERE'!$A$35:$F$35,0))</f>
        <v>33016.788053133096</v>
      </c>
      <c r="I15" s="69">
        <f>'INPUTS - START HERE'!$B$12*VLOOKUP('DAA Media Plan'!I3,'INPUTS - START HERE'!$A$20:$B$31,2,0)*INDEX('INPUTS - START HERE'!$A$35:$F$38,MATCH('DAA Media Plan'!$D$15,'INPUTS - START HERE'!$A$35:$A$38,0),MATCH('DAA Media Plan'!$E$15,'INPUTS - START HERE'!$A$35:$F$35,0))</f>
        <v>37969.306261103069</v>
      </c>
      <c r="J15" s="69">
        <f>'INPUTS - START HERE'!$B$12*VLOOKUP('DAA Media Plan'!J3,'INPUTS - START HERE'!$A$20:$B$31,2,0)*INDEX('INPUTS - START HERE'!$A$35:$F$38,MATCH('DAA Media Plan'!$D$15,'INPUTS - START HERE'!$A$35:$A$38,0),MATCH('DAA Media Plan'!$E$15,'INPUTS - START HERE'!$A$35:$F$35,0))</f>
        <v>43664.702200268526</v>
      </c>
      <c r="K15" s="69">
        <f>'INPUTS - START HERE'!$B$12*VLOOKUP('DAA Media Plan'!K3,'INPUTS - START HERE'!$A$20:$B$31,2,0)*INDEX('INPUTS - START HERE'!$A$35:$F$38,MATCH('DAA Media Plan'!$D$15,'INPUTS - START HERE'!$A$35:$A$38,0),MATCH('DAA Media Plan'!$E$15,'INPUTS - START HERE'!$A$35:$F$35,0))</f>
        <v>50214.40753030881</v>
      </c>
      <c r="L15" s="69">
        <f>'INPUTS - START HERE'!$B$12*VLOOKUP('DAA Media Plan'!L3,'INPUTS - START HERE'!$A$20:$B$31,2,0)*INDEX('INPUTS - START HERE'!$A$35:$F$38,MATCH('DAA Media Plan'!$D$15,'INPUTS - START HERE'!$A$35:$A$38,0),MATCH('DAA Media Plan'!$E$15,'INPUTS - START HERE'!$A$35:$F$35,0))</f>
        <v>65278.730232460861</v>
      </c>
      <c r="M15" s="69">
        <f>'INPUTS - START HERE'!$B$12*VLOOKUP('DAA Media Plan'!M3,'INPUTS - START HERE'!$A$20:$B$31,2,0)*INDEX('INPUTS - START HERE'!$A$35:$F$38,MATCH('DAA Media Plan'!$D$15,'INPUTS - START HERE'!$A$35:$A$38,0),MATCH('DAA Media Plan'!$E$15,'INPUTS - START HERE'!$A$35:$F$35,0))</f>
        <v>75070.539490417868</v>
      </c>
      <c r="N15" s="69">
        <f>'INPUTS - START HERE'!$B$12*VLOOKUP('DAA Media Plan'!N3,'INPUTS - START HERE'!$A$20:$B$31,2,0)*INDEX('INPUTS - START HERE'!$A$35:$F$38,MATCH('DAA Media Plan'!$D$15,'INPUTS - START HERE'!$A$35:$A$38,0),MATCH('DAA Media Plan'!$E$15,'INPUTS - START HERE'!$A$35:$F$35,0))</f>
        <v>86331.120635510262</v>
      </c>
      <c r="O15" s="69">
        <f>'INPUTS - START HERE'!$B$12*VLOOKUP('DAA Media Plan'!O3,'INPUTS - START HERE'!$A$20:$B$31,2,0)*INDEX('INPUTS - START HERE'!$A$35:$F$38,MATCH('DAA Media Plan'!$D$15,'INPUTS - START HERE'!$A$35:$A$38,0),MATCH('DAA Media Plan'!$E$15,'INPUTS - START HERE'!$A$35:$F$35,0))</f>
        <v>103597.34454108261</v>
      </c>
      <c r="P15" s="69">
        <f>'INPUTS - START HERE'!$B$12*VLOOKUP('DAA Media Plan'!P3,'INPUTS - START HERE'!$A$20:$B$31,2,0)*INDEX('INPUTS - START HERE'!$A$35:$F$38,MATCH('DAA Media Plan'!$D$15,'INPUTS - START HERE'!$A$35:$A$38,0),MATCH('DAA Media Plan'!$E$15,'INPUTS - START HERE'!$A$35:$F$35,0))</f>
        <v>129496.67984561683</v>
      </c>
      <c r="Q15" s="69">
        <f>'INPUTS - START HERE'!$B$12*VLOOKUP('DAA Media Plan'!Q3,'INPUTS - START HERE'!$A$20:$B$31,2,0)*INDEX('INPUTS - START HERE'!$A$35:$F$38,MATCH('DAA Media Plan'!$D$15,'INPUTS - START HERE'!$A$35:$A$38,0),MATCH('DAA Media Plan'!$E$15,'INPUTS - START HERE'!$A$35:$F$35,0))</f>
        <v>148921.18243166606</v>
      </c>
      <c r="R15" s="70">
        <f t="shared" si="1"/>
        <v>825000</v>
      </c>
    </row>
    <row r="16" spans="2:18" x14ac:dyDescent="0.35">
      <c r="B16" s="11"/>
      <c r="C16" s="11"/>
      <c r="D16" s="13" t="s">
        <v>18</v>
      </c>
      <c r="E16" s="13" t="s">
        <v>62</v>
      </c>
      <c r="F16" s="69">
        <f>'INPUTS - START HERE'!$B$13*VLOOKUP('DAA Media Plan'!F3,'INPUTS - START HERE'!$A$20:$B$31,2,0)*INDEX('INPUTS - START HERE'!$A$35:$F$38,MATCH('DAA Media Plan'!$D$16,'INPUTS - START HERE'!$A$35:$A$38,0),MATCH('DAA Media Plan'!$E$16,'INPUTS - START HERE'!$A$35:$F$35,0))</f>
        <v>0</v>
      </c>
      <c r="G16" s="69">
        <f>'INPUTS - START HERE'!$B$13*VLOOKUP('DAA Media Plan'!G3,'INPUTS - START HERE'!$A$20:$B$31,2,0)*INDEX('INPUTS - START HERE'!$A$35:$F$38,MATCH('DAA Media Plan'!$D$16,'INPUTS - START HERE'!$A$35:$A$38,0),MATCH('DAA Media Plan'!$E$16,'INPUTS - START HERE'!$A$35:$F$35,0))</f>
        <v>0</v>
      </c>
      <c r="H16" s="69">
        <f>'INPUTS - START HERE'!$B$13*VLOOKUP('DAA Media Plan'!H3,'INPUTS - START HERE'!$A$20:$B$31,2,0)*INDEX('INPUTS - START HERE'!$A$35:$F$38,MATCH('DAA Media Plan'!$D$16,'INPUTS - START HERE'!$A$35:$A$38,0),MATCH('DAA Media Plan'!$E$16,'INPUTS - START HERE'!$A$35:$F$35,0))</f>
        <v>0</v>
      </c>
      <c r="I16" s="69">
        <f>'INPUTS - START HERE'!$B$13*VLOOKUP('DAA Media Plan'!I3,'INPUTS - START HERE'!$A$20:$B$31,2,0)*INDEX('INPUTS - START HERE'!$A$35:$F$38,MATCH('DAA Media Plan'!$D$16,'INPUTS - START HERE'!$A$35:$A$38,0),MATCH('DAA Media Plan'!$E$16,'INPUTS - START HERE'!$A$35:$F$35,0))</f>
        <v>0</v>
      </c>
      <c r="J16" s="69">
        <f>'INPUTS - START HERE'!$B$13*VLOOKUP('DAA Media Plan'!J3,'INPUTS - START HERE'!$A$20:$B$31,2,0)*INDEX('INPUTS - START HERE'!$A$35:$F$38,MATCH('DAA Media Plan'!$D$16,'INPUTS - START HERE'!$A$35:$A$38,0),MATCH('DAA Media Plan'!$E$16,'INPUTS - START HERE'!$A$35:$F$35,0))</f>
        <v>0</v>
      </c>
      <c r="K16" s="69">
        <f>'INPUTS - START HERE'!$B$13*VLOOKUP('DAA Media Plan'!K3,'INPUTS - START HERE'!$A$20:$B$31,2,0)*INDEX('INPUTS - START HERE'!$A$35:$F$38,MATCH('DAA Media Plan'!$D$16,'INPUTS - START HERE'!$A$35:$A$38,0),MATCH('DAA Media Plan'!$E$16,'INPUTS - START HERE'!$A$35:$F$35,0))</f>
        <v>0</v>
      </c>
      <c r="L16" s="69">
        <f>'INPUTS - START HERE'!$B$13*VLOOKUP('DAA Media Plan'!L3,'INPUTS - START HERE'!$A$20:$B$31,2,0)*INDEX('INPUTS - START HERE'!$A$35:$F$38,MATCH('DAA Media Plan'!$D$16,'INPUTS - START HERE'!$A$35:$A$38,0),MATCH('DAA Media Plan'!$E$16,'INPUTS - START HERE'!$A$35:$F$35,0))</f>
        <v>0</v>
      </c>
      <c r="M16" s="69">
        <f>'INPUTS - START HERE'!$B$13*VLOOKUP('DAA Media Plan'!M3,'INPUTS - START HERE'!$A$20:$B$31,2,0)*INDEX('INPUTS - START HERE'!$A$35:$F$38,MATCH('DAA Media Plan'!$D$16,'INPUTS - START HERE'!$A$35:$A$38,0),MATCH('DAA Media Plan'!$E$16,'INPUTS - START HERE'!$A$35:$F$35,0))</f>
        <v>0</v>
      </c>
      <c r="N16" s="69">
        <f>'INPUTS - START HERE'!$B$13*VLOOKUP('DAA Media Plan'!N3,'INPUTS - START HERE'!$A$20:$B$31,2,0)*INDEX('INPUTS - START HERE'!$A$35:$F$38,MATCH('DAA Media Plan'!$D$16,'INPUTS - START HERE'!$A$35:$A$38,0),MATCH('DAA Media Plan'!$E$16,'INPUTS - START HERE'!$A$35:$F$35,0))</f>
        <v>0</v>
      </c>
      <c r="O16" s="69">
        <f>'INPUTS - START HERE'!$B$13*VLOOKUP('DAA Media Plan'!O3,'INPUTS - START HERE'!$A$20:$B$31,2,0)*INDEX('INPUTS - START HERE'!$A$35:$F$38,MATCH('DAA Media Plan'!$D$16,'INPUTS - START HERE'!$A$35:$A$38,0),MATCH('DAA Media Plan'!$E$16,'INPUTS - START HERE'!$A$35:$F$35,0))</f>
        <v>0</v>
      </c>
      <c r="P16" s="69">
        <f>'INPUTS - START HERE'!$B$13*VLOOKUP('DAA Media Plan'!P3,'INPUTS - START HERE'!$A$20:$B$31,2,0)*INDEX('INPUTS - START HERE'!$A$35:$F$38,MATCH('DAA Media Plan'!$D$16,'INPUTS - START HERE'!$A$35:$A$38,0),MATCH('DAA Media Plan'!$E$16,'INPUTS - START HERE'!$A$35:$F$35,0))</f>
        <v>0</v>
      </c>
      <c r="Q16" s="69">
        <f>'INPUTS - START HERE'!$B$13*VLOOKUP('DAA Media Plan'!Q3,'INPUTS - START HERE'!$A$20:$B$31,2,0)*INDEX('INPUTS - START HERE'!$A$35:$F$38,MATCH('DAA Media Plan'!$D$16,'INPUTS - START HERE'!$A$35:$A$38,0),MATCH('DAA Media Plan'!$E$16,'INPUTS - START HERE'!$A$35:$F$35,0))</f>
        <v>0</v>
      </c>
      <c r="R16" s="70">
        <f t="shared" si="1"/>
        <v>0</v>
      </c>
    </row>
    <row r="17" spans="2:18" x14ac:dyDescent="0.35">
      <c r="B17" s="11"/>
      <c r="C17" s="11"/>
      <c r="D17" s="14" t="s">
        <v>63</v>
      </c>
      <c r="E17" s="14" t="s">
        <v>22</v>
      </c>
      <c r="F17" s="71">
        <f>'INPUTS - START HERE'!$B$6*VLOOKUP('DAA Media Plan'!F3,'INPUTS - START HERE'!$A$20:$B$31,2,FALSE)*INDEX('INPUTS - START HERE'!$A$35:$F$38,MATCH('DAA Media Plan'!$D$17,'INPUTS - START HERE'!$A$35:$A$38,0),MATCH('DAA Media Plan'!$E$17,'INPUTS - START HERE'!$A$35:$F$35,0))</f>
        <v>0</v>
      </c>
      <c r="G17" s="71">
        <f>'INPUTS - START HERE'!$B$6*VLOOKUP('DAA Media Plan'!G3,'INPUTS - START HERE'!$A$20:$B$31,2,FALSE)*INDEX('INPUTS - START HERE'!$A$35:$F$38,MATCH('DAA Media Plan'!$D$17,'INPUTS - START HERE'!$A$35:$A$38,0),MATCH('DAA Media Plan'!$E$17,'INPUTS - START HERE'!$A$35:$F$35,0))</f>
        <v>0</v>
      </c>
      <c r="H17" s="71">
        <f>'INPUTS - START HERE'!$B$6*VLOOKUP('DAA Media Plan'!H3,'INPUTS - START HERE'!$A$20:$B$31,2,FALSE)*INDEX('INPUTS - START HERE'!$A$35:$F$38,MATCH('DAA Media Plan'!$D$17,'INPUTS - START HERE'!$A$35:$A$38,0),MATCH('DAA Media Plan'!$E$17,'INPUTS - START HERE'!$A$35:$F$35,0))</f>
        <v>0</v>
      </c>
      <c r="I17" s="71">
        <f>'INPUTS - START HERE'!$B$6*VLOOKUP('DAA Media Plan'!I3,'INPUTS - START HERE'!$A$20:$B$31,2,FALSE)*INDEX('INPUTS - START HERE'!$A$35:$F$38,MATCH('DAA Media Plan'!$D$17,'INPUTS - START HERE'!$A$35:$A$38,0),MATCH('DAA Media Plan'!$E$17,'INPUTS - START HERE'!$A$35:$F$35,0))</f>
        <v>0</v>
      </c>
      <c r="J17" s="71">
        <f>'INPUTS - START HERE'!$B$6*VLOOKUP('DAA Media Plan'!J3,'INPUTS - START HERE'!$A$20:$B$31,2,FALSE)*INDEX('INPUTS - START HERE'!$A$35:$F$38,MATCH('DAA Media Plan'!$D$17,'INPUTS - START HERE'!$A$35:$A$38,0),MATCH('DAA Media Plan'!$E$17,'INPUTS - START HERE'!$A$35:$F$35,0))</f>
        <v>0</v>
      </c>
      <c r="K17" s="71">
        <f>'INPUTS - START HERE'!$B$6*VLOOKUP('DAA Media Plan'!K3,'INPUTS - START HERE'!$A$20:$B$31,2,FALSE)*INDEX('INPUTS - START HERE'!$A$35:$F$38,MATCH('DAA Media Plan'!$D$17,'INPUTS - START HERE'!$A$35:$A$38,0),MATCH('DAA Media Plan'!$E$17,'INPUTS - START HERE'!$A$35:$F$35,0))</f>
        <v>0</v>
      </c>
      <c r="L17" s="71">
        <f>'INPUTS - START HERE'!$B$6*VLOOKUP('DAA Media Plan'!L3,'INPUTS - START HERE'!$A$20:$B$31,2,FALSE)*INDEX('INPUTS - START HERE'!$A$35:$F$38,MATCH('DAA Media Plan'!$D$17,'INPUTS - START HERE'!$A$35:$A$38,0),MATCH('DAA Media Plan'!$E$17,'INPUTS - START HERE'!$A$35:$F$35,0))</f>
        <v>0</v>
      </c>
      <c r="M17" s="71">
        <f>'INPUTS - START HERE'!$B$6*VLOOKUP('DAA Media Plan'!M3,'INPUTS - START HERE'!$A$20:$B$31,2,FALSE)*INDEX('INPUTS - START HERE'!$A$35:$F$38,MATCH('DAA Media Plan'!$D$17,'INPUTS - START HERE'!$A$35:$A$38,0),MATCH('DAA Media Plan'!$E$17,'INPUTS - START HERE'!$A$35:$F$35,0))</f>
        <v>0</v>
      </c>
      <c r="N17" s="71">
        <f>'INPUTS - START HERE'!$B$6*VLOOKUP('DAA Media Plan'!N3,'INPUTS - START HERE'!$A$20:$B$31,2,FALSE)*INDEX('INPUTS - START HERE'!$A$35:$F$38,MATCH('DAA Media Plan'!$D$17,'INPUTS - START HERE'!$A$35:$A$38,0),MATCH('DAA Media Plan'!$E$17,'INPUTS - START HERE'!$A$35:$F$35,0))</f>
        <v>0</v>
      </c>
      <c r="O17" s="71">
        <f>'INPUTS - START HERE'!$B$6*VLOOKUP('DAA Media Plan'!O3,'INPUTS - START HERE'!$A$20:$B$31,2,FALSE)*INDEX('INPUTS - START HERE'!$A$35:$F$38,MATCH('DAA Media Plan'!$D$17,'INPUTS - START HERE'!$A$35:$A$38,0),MATCH('DAA Media Plan'!$E$17,'INPUTS - START HERE'!$A$35:$F$35,0))</f>
        <v>0</v>
      </c>
      <c r="P17" s="71">
        <f>'INPUTS - START HERE'!$B$6*VLOOKUP('DAA Media Plan'!P3,'INPUTS - START HERE'!$A$20:$B$31,2,FALSE)*INDEX('INPUTS - START HERE'!$A$35:$F$38,MATCH('DAA Media Plan'!$D$17,'INPUTS - START HERE'!$A$35:$A$38,0),MATCH('DAA Media Plan'!$E$17,'INPUTS - START HERE'!$A$35:$F$35,0))</f>
        <v>0</v>
      </c>
      <c r="Q17" s="71">
        <f>'INPUTS - START HERE'!$B$6*VLOOKUP('DAA Media Plan'!Q3,'INPUTS - START HERE'!$A$20:$B$31,2,FALSE)*INDEX('INPUTS - START HERE'!$A$35:$F$38,MATCH('DAA Media Plan'!$D$17,'INPUTS - START HERE'!$A$35:$A$38,0),MATCH('DAA Media Plan'!$E$17,'INPUTS - START HERE'!$A$35:$F$35,0))</f>
        <v>0</v>
      </c>
      <c r="R17" s="72">
        <f t="shared" si="1"/>
        <v>0</v>
      </c>
    </row>
    <row r="18" spans="2:18" x14ac:dyDescent="0.35">
      <c r="B18" s="11"/>
      <c r="C18" s="11"/>
      <c r="D18" s="14" t="s">
        <v>63</v>
      </c>
      <c r="E18" s="14" t="s">
        <v>20</v>
      </c>
      <c r="F18" s="71">
        <f>SUM('INPUTS - START HERE'!$B$8:$B$9)*VLOOKUP('DAA Media Plan'!F3,'INPUTS - START HERE'!$A$20:$B$31,2,FALSE)*INDEX('INPUTS - START HERE'!$A$35:$F$38,MATCH('DAA Media Plan'!$D$18,'INPUTS - START HERE'!$A$35:$A$38,0),MATCH('DAA Media Plan'!$E$18,'INPUTS - START HERE'!$A$35:$F$35,0))</f>
        <v>0</v>
      </c>
      <c r="G18" s="71">
        <f>SUM('INPUTS - START HERE'!$B$8:$B$9)*VLOOKUP('DAA Media Plan'!G3,'INPUTS - START HERE'!$A$20:$B$31,2,FALSE)*INDEX('INPUTS - START HERE'!$A$35:$F$38,MATCH('DAA Media Plan'!$D$18,'INPUTS - START HERE'!$A$35:$A$38,0),MATCH('DAA Media Plan'!$E$18,'INPUTS - START HERE'!$A$35:$F$35,0))</f>
        <v>0</v>
      </c>
      <c r="H18" s="71">
        <f>SUM('INPUTS - START HERE'!$B$8:$B$9)*VLOOKUP('DAA Media Plan'!H3,'INPUTS - START HERE'!$A$20:$B$31,2,FALSE)*INDEX('INPUTS - START HERE'!$A$35:$F$38,MATCH('DAA Media Plan'!$D$18,'INPUTS - START HERE'!$A$35:$A$38,0),MATCH('DAA Media Plan'!$E$18,'INPUTS - START HERE'!$A$35:$F$35,0))</f>
        <v>0</v>
      </c>
      <c r="I18" s="71">
        <f>SUM('INPUTS - START HERE'!$B$8:$B$9)*VLOOKUP('DAA Media Plan'!I3,'INPUTS - START HERE'!$A$20:$B$31,2,FALSE)*INDEX('INPUTS - START HERE'!$A$35:$F$38,MATCH('DAA Media Plan'!$D$18,'INPUTS - START HERE'!$A$35:$A$38,0),MATCH('DAA Media Plan'!$E$18,'INPUTS - START HERE'!$A$35:$F$35,0))</f>
        <v>0</v>
      </c>
      <c r="J18" s="71">
        <f>SUM('INPUTS - START HERE'!$B$8:$B$9)*VLOOKUP('DAA Media Plan'!J3,'INPUTS - START HERE'!$A$20:$B$31,2,FALSE)*INDEX('INPUTS - START HERE'!$A$35:$F$38,MATCH('DAA Media Plan'!$D$18,'INPUTS - START HERE'!$A$35:$A$38,0),MATCH('DAA Media Plan'!$E$18,'INPUTS - START HERE'!$A$35:$F$35,0))</f>
        <v>0</v>
      </c>
      <c r="K18" s="71">
        <f>SUM('INPUTS - START HERE'!$B$8:$B$9)*VLOOKUP('DAA Media Plan'!K3,'INPUTS - START HERE'!$A$20:$B$31,2,FALSE)*INDEX('INPUTS - START HERE'!$A$35:$F$38,MATCH('DAA Media Plan'!$D$18,'INPUTS - START HERE'!$A$35:$A$38,0),MATCH('DAA Media Plan'!$E$18,'INPUTS - START HERE'!$A$35:$F$35,0))</f>
        <v>0</v>
      </c>
      <c r="L18" s="71">
        <f>SUM('INPUTS - START HERE'!$B$8:$B$9)*VLOOKUP('DAA Media Plan'!L3,'INPUTS - START HERE'!$A$20:$B$31,2,FALSE)*INDEX('INPUTS - START HERE'!$A$35:$F$38,MATCH('DAA Media Plan'!$D$18,'INPUTS - START HERE'!$A$35:$A$38,0),MATCH('DAA Media Plan'!$E$18,'INPUTS - START HERE'!$A$35:$F$35,0))</f>
        <v>0</v>
      </c>
      <c r="M18" s="71">
        <f>SUM('INPUTS - START HERE'!$B$8:$B$9)*VLOOKUP('DAA Media Plan'!M3,'INPUTS - START HERE'!$A$20:$B$31,2,FALSE)*INDEX('INPUTS - START HERE'!$A$35:$F$38,MATCH('DAA Media Plan'!$D$18,'INPUTS - START HERE'!$A$35:$A$38,0),MATCH('DAA Media Plan'!$E$18,'INPUTS - START HERE'!$A$35:$F$35,0))</f>
        <v>0</v>
      </c>
      <c r="N18" s="71">
        <f>SUM('INPUTS - START HERE'!$B$8:$B$9)*VLOOKUP('DAA Media Plan'!N3,'INPUTS - START HERE'!$A$20:$B$31,2,FALSE)*INDEX('INPUTS - START HERE'!$A$35:$F$38,MATCH('DAA Media Plan'!$D$18,'INPUTS - START HERE'!$A$35:$A$38,0),MATCH('DAA Media Plan'!$E$18,'INPUTS - START HERE'!$A$35:$F$35,0))</f>
        <v>0</v>
      </c>
      <c r="O18" s="71">
        <f>SUM('INPUTS - START HERE'!$B$8:$B$9)*VLOOKUP('DAA Media Plan'!O3,'INPUTS - START HERE'!$A$20:$B$31,2,FALSE)*INDEX('INPUTS - START HERE'!$A$35:$F$38,MATCH('DAA Media Plan'!$D$18,'INPUTS - START HERE'!$A$35:$A$38,0),MATCH('DAA Media Plan'!$E$18,'INPUTS - START HERE'!$A$35:$F$35,0))</f>
        <v>0</v>
      </c>
      <c r="P18" s="71">
        <f>SUM('INPUTS - START HERE'!$B$8:$B$9)*VLOOKUP('DAA Media Plan'!P3,'INPUTS - START HERE'!$A$20:$B$31,2,FALSE)*INDEX('INPUTS - START HERE'!$A$35:$F$38,MATCH('DAA Media Plan'!$D$18,'INPUTS - START HERE'!$A$35:$A$38,0),MATCH('DAA Media Plan'!$E$18,'INPUTS - START HERE'!$A$35:$F$35,0))</f>
        <v>0</v>
      </c>
      <c r="Q18" s="71">
        <f>SUM('INPUTS - START HERE'!$B$8:$B$9)*VLOOKUP('DAA Media Plan'!Q3,'INPUTS - START HERE'!$A$20:$B$31,2,FALSE)*INDEX('INPUTS - START HERE'!$A$35:$F$38,MATCH('DAA Media Plan'!$D$18,'INPUTS - START HERE'!$A$35:$A$38,0),MATCH('DAA Media Plan'!$E$18,'INPUTS - START HERE'!$A$35:$F$35,0))</f>
        <v>0</v>
      </c>
      <c r="R18" s="72">
        <f t="shared" si="1"/>
        <v>0</v>
      </c>
    </row>
    <row r="19" spans="2:18" x14ac:dyDescent="0.35">
      <c r="B19" s="11"/>
      <c r="C19" s="11"/>
      <c r="D19" s="14" t="s">
        <v>63</v>
      </c>
      <c r="E19" s="14" t="s">
        <v>19</v>
      </c>
      <c r="F19" s="71">
        <f>'INPUTS - START HERE'!$B$12*VLOOKUP('DAA Media Plan'!F3,'INPUTS - START HERE'!$A$20:$B$31,2,0)*INDEX('INPUTS - START HERE'!$A$35:$F$38,MATCH('DAA Media Plan'!$D$19,'INPUTS - START HERE'!$A$35:$A$38,0),MATCH('DAA Media Plan'!$E$19,'INPUTS - START HERE'!$A$35:$F$35,0))</f>
        <v>55825.487046360315</v>
      </c>
      <c r="G19" s="71">
        <f>'INPUTS - START HERE'!$B$12*VLOOKUP('DAA Media Plan'!G3,'INPUTS - START HERE'!$A$20:$B$31,2,0)*INDEX('INPUTS - START HERE'!$A$35:$F$38,MATCH('DAA Media Plan'!$D$19,'INPUTS - START HERE'!$A$35:$A$38,0),MATCH('DAA Media Plan'!$E$19,'INPUTS - START HERE'!$A$35:$F$35,0))</f>
        <v>64199.310103314354</v>
      </c>
      <c r="H19" s="71">
        <f>'INPUTS - START HERE'!$B$12*VLOOKUP('DAA Media Plan'!H3,'INPUTS - START HERE'!$A$20:$B$31,2,0)*INDEX('INPUTS - START HERE'!$A$35:$F$38,MATCH('DAA Media Plan'!$D$19,'INPUTS - START HERE'!$A$35:$A$38,0),MATCH('DAA Media Plan'!$E$19,'INPUTS - START HERE'!$A$35:$F$35,0))</f>
        <v>77039.172123977231</v>
      </c>
      <c r="I19" s="71">
        <f>'INPUTS - START HERE'!$B$12*VLOOKUP('DAA Media Plan'!I3,'INPUTS - START HERE'!$A$20:$B$31,2,0)*INDEX('INPUTS - START HERE'!$A$35:$F$38,MATCH('DAA Media Plan'!$D$19,'INPUTS - START HERE'!$A$35:$A$38,0),MATCH('DAA Media Plan'!$E$19,'INPUTS - START HERE'!$A$35:$F$35,0))</f>
        <v>88595.047942573816</v>
      </c>
      <c r="J19" s="71">
        <f>'INPUTS - START HERE'!$B$12*VLOOKUP('DAA Media Plan'!J3,'INPUTS - START HERE'!$A$20:$B$31,2,0)*INDEX('INPUTS - START HERE'!$A$35:$F$38,MATCH('DAA Media Plan'!$D$19,'INPUTS - START HERE'!$A$35:$A$38,0),MATCH('DAA Media Plan'!$E$19,'INPUTS - START HERE'!$A$35:$F$35,0))</f>
        <v>101884.30513395989</v>
      </c>
      <c r="K19" s="71">
        <f>'INPUTS - START HERE'!$B$12*VLOOKUP('DAA Media Plan'!K3,'INPUTS - START HERE'!$A$20:$B$31,2,0)*INDEX('INPUTS - START HERE'!$A$35:$F$38,MATCH('DAA Media Plan'!$D$19,'INPUTS - START HERE'!$A$35:$A$38,0),MATCH('DAA Media Plan'!$E$19,'INPUTS - START HERE'!$A$35:$F$35,0))</f>
        <v>117166.9509040539</v>
      </c>
      <c r="L19" s="71">
        <f>'INPUTS - START HERE'!$B$12*VLOOKUP('DAA Media Plan'!L3,'INPUTS - START HERE'!$A$20:$B$31,2,0)*INDEX('INPUTS - START HERE'!$A$35:$F$38,MATCH('DAA Media Plan'!$D$19,'INPUTS - START HERE'!$A$35:$A$38,0),MATCH('DAA Media Plan'!$E$19,'INPUTS - START HERE'!$A$35:$F$35,0))</f>
        <v>152317.03720907535</v>
      </c>
      <c r="M19" s="71">
        <f>'INPUTS - START HERE'!$B$12*VLOOKUP('DAA Media Plan'!M3,'INPUTS - START HERE'!$A$20:$B$31,2,0)*INDEX('INPUTS - START HERE'!$A$35:$F$38,MATCH('DAA Media Plan'!$D$19,'INPUTS - START HERE'!$A$35:$A$38,0),MATCH('DAA Media Plan'!$E$19,'INPUTS - START HERE'!$A$35:$F$35,0))</f>
        <v>175164.59214430835</v>
      </c>
      <c r="N19" s="71">
        <f>'INPUTS - START HERE'!$B$12*VLOOKUP('DAA Media Plan'!N3,'INPUTS - START HERE'!$A$20:$B$31,2,0)*INDEX('INPUTS - START HERE'!$A$35:$F$38,MATCH('DAA Media Plan'!$D$19,'INPUTS - START HERE'!$A$35:$A$38,0),MATCH('DAA Media Plan'!$E$19,'INPUTS - START HERE'!$A$35:$F$35,0))</f>
        <v>201439.28148285727</v>
      </c>
      <c r="O19" s="71">
        <f>'INPUTS - START HERE'!$B$12*VLOOKUP('DAA Media Plan'!O3,'INPUTS - START HERE'!$A$20:$B$31,2,0)*INDEX('INPUTS - START HERE'!$A$35:$F$38,MATCH('DAA Media Plan'!$D$19,'INPUTS - START HERE'!$A$35:$A$38,0),MATCH('DAA Media Plan'!$E$19,'INPUTS - START HERE'!$A$35:$F$35,0))</f>
        <v>241727.13726252608</v>
      </c>
      <c r="P19" s="71">
        <f>'INPUTS - START HERE'!$B$12*VLOOKUP('DAA Media Plan'!P3,'INPUTS - START HERE'!$A$20:$B$31,2,0)*INDEX('INPUTS - START HERE'!$A$35:$F$38,MATCH('DAA Media Plan'!$D$19,'INPUTS - START HERE'!$A$35:$A$38,0),MATCH('DAA Media Plan'!$E$19,'INPUTS - START HERE'!$A$35:$F$35,0))</f>
        <v>302158.91963977262</v>
      </c>
      <c r="Q19" s="71">
        <f>'INPUTS - START HERE'!$B$12*VLOOKUP('DAA Media Plan'!Q3,'INPUTS - START HERE'!$A$20:$B$31,2,0)*INDEX('INPUTS - START HERE'!$A$35:$F$38,MATCH('DAA Media Plan'!$D$19,'INPUTS - START HERE'!$A$35:$A$38,0),MATCH('DAA Media Plan'!$E$19,'INPUTS - START HERE'!$A$35:$F$35,0))</f>
        <v>347482.7590072208</v>
      </c>
      <c r="R19" s="72">
        <f t="shared" si="1"/>
        <v>1925000.0000000002</v>
      </c>
    </row>
    <row r="20" spans="2:18" x14ac:dyDescent="0.35">
      <c r="D20" s="40"/>
      <c r="E20" s="41"/>
      <c r="F20" s="73">
        <f t="shared" ref="F20:R20" si="2">SUM(F4:F19)</f>
        <v>1588012.5240492653</v>
      </c>
      <c r="G20" s="73">
        <f t="shared" si="2"/>
        <v>1834339.4026566553</v>
      </c>
      <c r="H20" s="73">
        <f t="shared" si="2"/>
        <v>2201007.2831879864</v>
      </c>
      <c r="I20" s="73">
        <f t="shared" si="2"/>
        <v>2531658.3756661834</v>
      </c>
      <c r="J20" s="73">
        <f t="shared" si="2"/>
        <v>2909882.1320161112</v>
      </c>
      <c r="K20" s="73">
        <f t="shared" si="2"/>
        <v>3347864.4518185286</v>
      </c>
      <c r="L20" s="73">
        <f t="shared" si="2"/>
        <v>4351723.8139476515</v>
      </c>
      <c r="M20" s="73">
        <f t="shared" si="2"/>
        <v>5004232.3694250714</v>
      </c>
      <c r="N20" s="73">
        <f t="shared" si="2"/>
        <v>5755367.238130617</v>
      </c>
      <c r="O20" s="73">
        <f t="shared" si="2"/>
        <v>6905840.6724649565</v>
      </c>
      <c r="P20" s="73">
        <f t="shared" si="2"/>
        <v>8634800.7907370105</v>
      </c>
      <c r="Q20" s="73">
        <f t="shared" si="2"/>
        <v>9935270.9458999652</v>
      </c>
      <c r="R20" s="73">
        <f t="shared" si="2"/>
        <v>55000000</v>
      </c>
    </row>
    <row r="21" spans="2:18" x14ac:dyDescent="0.35">
      <c r="F21" s="74">
        <f>F19+F15</f>
        <v>79750.695780514739</v>
      </c>
      <c r="G21" s="74">
        <f t="shared" ref="G21:R21" si="3">G19+G15</f>
        <v>91713.300147591945</v>
      </c>
      <c r="H21" s="74">
        <f t="shared" si="3"/>
        <v>110055.96017711033</v>
      </c>
      <c r="I21" s="74">
        <f t="shared" si="3"/>
        <v>126564.35420367689</v>
      </c>
      <c r="J21" s="74">
        <f t="shared" si="3"/>
        <v>145549.00733422843</v>
      </c>
      <c r="K21" s="74">
        <f t="shared" si="3"/>
        <v>167381.35843436272</v>
      </c>
      <c r="L21" s="74">
        <f t="shared" si="3"/>
        <v>217595.76744153621</v>
      </c>
      <c r="M21" s="74">
        <f t="shared" si="3"/>
        <v>250235.13163472622</v>
      </c>
      <c r="N21" s="74">
        <f t="shared" si="3"/>
        <v>287770.40211836755</v>
      </c>
      <c r="O21" s="74">
        <f t="shared" si="3"/>
        <v>345324.48180360871</v>
      </c>
      <c r="P21" s="74">
        <f t="shared" si="3"/>
        <v>431655.59948538942</v>
      </c>
      <c r="Q21" s="74">
        <f t="shared" si="3"/>
        <v>496403.94143888686</v>
      </c>
      <c r="R21" s="74">
        <f t="shared" si="3"/>
        <v>2750000</v>
      </c>
    </row>
    <row r="23" spans="2:18" x14ac:dyDescent="0.35">
      <c r="B23" s="48" t="s">
        <v>49</v>
      </c>
      <c r="C23" s="49"/>
      <c r="D23" s="2" t="s">
        <v>0</v>
      </c>
      <c r="E23" s="2" t="s">
        <v>1</v>
      </c>
      <c r="F23" s="2" t="s">
        <v>2</v>
      </c>
      <c r="G23" s="2" t="s">
        <v>3</v>
      </c>
      <c r="H23" s="3" t="s">
        <v>4</v>
      </c>
      <c r="I23" s="3" t="s">
        <v>5</v>
      </c>
      <c r="J23" s="3" t="s">
        <v>6</v>
      </c>
      <c r="K23" s="3" t="s">
        <v>7</v>
      </c>
      <c r="L23" s="3" t="s">
        <v>8</v>
      </c>
      <c r="M23" s="3" t="s">
        <v>9</v>
      </c>
      <c r="N23" s="3" t="s">
        <v>10</v>
      </c>
      <c r="O23" s="3" t="s">
        <v>11</v>
      </c>
    </row>
    <row r="24" spans="2:18" x14ac:dyDescent="0.35">
      <c r="B24" s="50"/>
      <c r="C24" s="49"/>
      <c r="D24" s="44" t="s">
        <v>35</v>
      </c>
      <c r="E24" s="46" t="s">
        <v>34</v>
      </c>
      <c r="F24" s="5"/>
      <c r="G24" s="5"/>
      <c r="H24" s="42" t="s">
        <v>33</v>
      </c>
      <c r="I24" s="55" t="s">
        <v>48</v>
      </c>
      <c r="J24" s="53" t="s">
        <v>29</v>
      </c>
      <c r="K24" s="44" t="s">
        <v>47</v>
      </c>
      <c r="L24" s="5"/>
      <c r="M24" s="5"/>
      <c r="N24" s="51" t="s">
        <v>31</v>
      </c>
      <c r="O24" s="51" t="s">
        <v>32</v>
      </c>
    </row>
    <row r="25" spans="2:18" x14ac:dyDescent="0.35">
      <c r="B25" s="50"/>
      <c r="C25" s="49"/>
      <c r="D25" s="45"/>
      <c r="E25" s="47"/>
      <c r="F25" s="5"/>
      <c r="G25" s="5"/>
      <c r="H25" s="43"/>
      <c r="I25" s="56"/>
      <c r="J25" s="54"/>
      <c r="K25" s="45"/>
      <c r="L25" s="5"/>
      <c r="M25" s="5"/>
      <c r="N25" s="52"/>
      <c r="O25" s="52"/>
    </row>
    <row r="26" spans="2:18" x14ac:dyDescent="0.35">
      <c r="B26" s="50"/>
      <c r="C26" s="49"/>
      <c r="D26" s="45"/>
      <c r="E26" s="47"/>
      <c r="F26" s="5"/>
      <c r="G26" s="5"/>
      <c r="H26" s="43"/>
      <c r="I26" s="56"/>
      <c r="J26" s="54"/>
      <c r="K26" s="45"/>
      <c r="L26" s="5"/>
      <c r="M26" s="5"/>
      <c r="N26" s="52"/>
      <c r="O26" s="52"/>
    </row>
    <row r="27" spans="2:18" x14ac:dyDescent="0.35">
      <c r="B27" s="50"/>
      <c r="C27" s="49"/>
      <c r="D27" s="45"/>
      <c r="E27" s="47"/>
      <c r="F27" s="5"/>
      <c r="G27" s="5"/>
      <c r="H27" s="43"/>
      <c r="I27" s="54" t="s">
        <v>30</v>
      </c>
      <c r="J27" s="54"/>
      <c r="K27" s="45"/>
      <c r="L27" s="5"/>
      <c r="M27" s="5"/>
      <c r="N27" s="52"/>
      <c r="O27" s="52"/>
    </row>
    <row r="28" spans="2:18" x14ac:dyDescent="0.35">
      <c r="B28" s="50"/>
      <c r="C28" s="49"/>
      <c r="D28" s="45"/>
      <c r="E28" s="47"/>
      <c r="F28" s="5"/>
      <c r="G28" s="5"/>
      <c r="H28" s="43"/>
      <c r="I28" s="54"/>
      <c r="J28" s="54"/>
      <c r="K28" s="45"/>
      <c r="L28" s="5"/>
      <c r="M28" s="5"/>
      <c r="N28" s="52"/>
      <c r="O28" s="52"/>
    </row>
    <row r="29" spans="2:18" x14ac:dyDescent="0.35">
      <c r="B29" s="50"/>
      <c r="C29" s="49"/>
      <c r="D29" s="45"/>
      <c r="E29" s="47"/>
      <c r="F29" s="5"/>
      <c r="G29" s="5"/>
      <c r="H29" s="43"/>
      <c r="I29" s="54"/>
      <c r="J29" s="54"/>
      <c r="K29" s="45"/>
      <c r="L29" s="5"/>
      <c r="M29" s="5"/>
      <c r="N29" s="52"/>
      <c r="O29" s="52"/>
    </row>
  </sheetData>
  <mergeCells count="12">
    <mergeCell ref="N24:N29"/>
    <mergeCell ref="O24:O29"/>
    <mergeCell ref="B23:C29"/>
    <mergeCell ref="J24:J29"/>
    <mergeCell ref="K24:K29"/>
    <mergeCell ref="I24:I26"/>
    <mergeCell ref="I27:I29"/>
    <mergeCell ref="D20:E20"/>
    <mergeCell ref="H24:H29"/>
    <mergeCell ref="D24:D29"/>
    <mergeCell ref="E24:E29"/>
    <mergeCell ref="B3:C15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8701-0529-4C45-B992-4120F14E2D53}">
  <dimension ref="A3:J17"/>
  <sheetViews>
    <sheetView showGridLines="0" workbookViewId="0">
      <selection activeCell="M54" sqref="M54"/>
    </sheetView>
  </sheetViews>
  <sheetFormatPr defaultColWidth="8.81640625" defaultRowHeight="14.5" x14ac:dyDescent="0.35"/>
  <cols>
    <col min="1" max="2" width="14" bestFit="1" customWidth="1"/>
  </cols>
  <sheetData>
    <row r="3" spans="1:10" x14ac:dyDescent="0.35">
      <c r="A3" s="57" t="s">
        <v>45</v>
      </c>
      <c r="B3" s="57"/>
      <c r="D3" s="58" t="s">
        <v>46</v>
      </c>
      <c r="E3" s="58"/>
      <c r="F3" s="58"/>
      <c r="G3" s="58"/>
      <c r="H3" s="58"/>
      <c r="I3" s="58"/>
      <c r="J3" s="58"/>
    </row>
    <row r="4" spans="1:10" x14ac:dyDescent="0.35">
      <c r="A4" s="2" t="s">
        <v>15</v>
      </c>
      <c r="B4" s="2" t="s">
        <v>16</v>
      </c>
      <c r="D4" s="58"/>
      <c r="E4" s="58"/>
      <c r="F4" s="58"/>
      <c r="G4" s="58"/>
      <c r="H4" s="58"/>
      <c r="I4" s="58"/>
      <c r="J4" s="58"/>
    </row>
    <row r="5" spans="1:10" x14ac:dyDescent="0.35">
      <c r="A5" s="4" t="s">
        <v>19</v>
      </c>
      <c r="B5" s="4" t="s">
        <v>39</v>
      </c>
      <c r="D5" s="58"/>
      <c r="E5" s="58"/>
      <c r="F5" s="58"/>
      <c r="G5" s="58"/>
      <c r="H5" s="58"/>
      <c r="I5" s="58"/>
      <c r="J5" s="58"/>
    </row>
    <row r="6" spans="1:10" x14ac:dyDescent="0.35">
      <c r="A6" s="4" t="s">
        <v>19</v>
      </c>
      <c r="B6" s="4" t="s">
        <v>26</v>
      </c>
      <c r="D6" s="58"/>
      <c r="E6" s="58"/>
      <c r="F6" s="58"/>
      <c r="G6" s="58"/>
      <c r="H6" s="58"/>
      <c r="I6" s="58"/>
      <c r="J6" s="58"/>
    </row>
    <row r="7" spans="1:10" x14ac:dyDescent="0.35">
      <c r="A7" s="4" t="s">
        <v>20</v>
      </c>
      <c r="B7" s="4" t="s">
        <v>21</v>
      </c>
      <c r="D7" s="58"/>
      <c r="E7" s="58"/>
      <c r="F7" s="58"/>
      <c r="G7" s="58"/>
      <c r="H7" s="58"/>
      <c r="I7" s="58"/>
      <c r="J7" s="58"/>
    </row>
    <row r="8" spans="1:10" x14ac:dyDescent="0.35">
      <c r="A8" s="4" t="s">
        <v>20</v>
      </c>
      <c r="B8" s="4" t="s">
        <v>40</v>
      </c>
      <c r="D8" s="58"/>
      <c r="E8" s="58"/>
      <c r="F8" s="58"/>
      <c r="G8" s="58"/>
      <c r="H8" s="58"/>
      <c r="I8" s="58"/>
      <c r="J8" s="58"/>
    </row>
    <row r="9" spans="1:10" x14ac:dyDescent="0.35">
      <c r="A9" s="4" t="s">
        <v>19</v>
      </c>
      <c r="B9" s="4" t="s">
        <v>41</v>
      </c>
      <c r="D9" s="58"/>
      <c r="E9" s="58"/>
      <c r="F9" s="58"/>
      <c r="G9" s="58"/>
      <c r="H9" s="58"/>
      <c r="I9" s="58"/>
      <c r="J9" s="58"/>
    </row>
    <row r="10" spans="1:10" x14ac:dyDescent="0.35">
      <c r="A10" s="4" t="s">
        <v>20</v>
      </c>
      <c r="B10" s="4" t="s">
        <v>27</v>
      </c>
      <c r="D10" s="58"/>
      <c r="E10" s="58"/>
      <c r="F10" s="58"/>
      <c r="G10" s="58"/>
      <c r="H10" s="58"/>
      <c r="I10" s="58"/>
      <c r="J10" s="58"/>
    </row>
    <row r="11" spans="1:10" x14ac:dyDescent="0.35">
      <c r="A11" s="4" t="s">
        <v>20</v>
      </c>
      <c r="B11" s="4" t="s">
        <v>28</v>
      </c>
    </row>
    <row r="12" spans="1:10" x14ac:dyDescent="0.35">
      <c r="A12" s="4" t="s">
        <v>22</v>
      </c>
      <c r="B12" s="4" t="s">
        <v>24</v>
      </c>
    </row>
    <row r="13" spans="1:10" x14ac:dyDescent="0.35">
      <c r="A13" s="4" t="s">
        <v>22</v>
      </c>
      <c r="B13" s="4" t="s">
        <v>23</v>
      </c>
    </row>
    <row r="14" spans="1:10" x14ac:dyDescent="0.35">
      <c r="A14" s="4" t="s">
        <v>19</v>
      </c>
      <c r="B14" s="4" t="s">
        <v>25</v>
      </c>
    </row>
    <row r="15" spans="1:10" x14ac:dyDescent="0.35">
      <c r="A15" s="9" t="s">
        <v>42</v>
      </c>
      <c r="B15" s="9" t="s">
        <v>12</v>
      </c>
    </row>
    <row r="16" spans="1:10" x14ac:dyDescent="0.35">
      <c r="A16" s="9" t="s">
        <v>43</v>
      </c>
      <c r="B16" s="9" t="s">
        <v>12</v>
      </c>
    </row>
    <row r="17" spans="1:2" x14ac:dyDescent="0.35">
      <c r="A17" s="9" t="s">
        <v>44</v>
      </c>
      <c r="B17" s="9" t="s">
        <v>12</v>
      </c>
    </row>
  </sheetData>
  <mergeCells count="2">
    <mergeCell ref="A3:B3"/>
    <mergeCell ref="D3:J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D8BF-3A80-461F-9B88-0B924725CB25}">
  <dimension ref="B3:C21"/>
  <sheetViews>
    <sheetView workbookViewId="0">
      <selection activeCell="C4" sqref="C4"/>
    </sheetView>
  </sheetViews>
  <sheetFormatPr defaultColWidth="8.81640625" defaultRowHeight="14.5" x14ac:dyDescent="0.35"/>
  <cols>
    <col min="1" max="1" width="11.1796875" bestFit="1" customWidth="1"/>
    <col min="2" max="2" width="13.1796875" bestFit="1" customWidth="1"/>
    <col min="3" max="3" width="10.453125" bestFit="1" customWidth="1"/>
  </cols>
  <sheetData>
    <row r="3" spans="2:3" x14ac:dyDescent="0.35">
      <c r="B3" s="6" t="s">
        <v>37</v>
      </c>
      <c r="C3" t="s">
        <v>36</v>
      </c>
    </row>
    <row r="4" spans="2:3" x14ac:dyDescent="0.35">
      <c r="B4" s="8" t="s">
        <v>17</v>
      </c>
      <c r="C4" s="10">
        <v>0</v>
      </c>
    </row>
    <row r="5" spans="2:3" x14ac:dyDescent="0.35">
      <c r="B5" s="8" t="s">
        <v>18</v>
      </c>
      <c r="C5" s="10">
        <v>620815.5</v>
      </c>
    </row>
    <row r="6" spans="2:3" x14ac:dyDescent="0.35">
      <c r="B6" s="8" t="s">
        <v>63</v>
      </c>
      <c r="C6" s="10">
        <v>38769.5</v>
      </c>
    </row>
    <row r="7" spans="2:3" x14ac:dyDescent="0.35">
      <c r="B7" s="8" t="s">
        <v>38</v>
      </c>
      <c r="C7" s="10">
        <v>659585</v>
      </c>
    </row>
    <row r="11" spans="2:3" x14ac:dyDescent="0.35">
      <c r="B11" s="6" t="s">
        <v>37</v>
      </c>
      <c r="C11" t="s">
        <v>36</v>
      </c>
    </row>
    <row r="12" spans="2:3" x14ac:dyDescent="0.35">
      <c r="B12" s="7" t="s">
        <v>42</v>
      </c>
      <c r="C12" s="17">
        <v>0</v>
      </c>
    </row>
    <row r="13" spans="2:3" x14ac:dyDescent="0.35">
      <c r="B13" s="7" t="s">
        <v>20</v>
      </c>
      <c r="C13" s="17">
        <v>50350</v>
      </c>
    </row>
    <row r="14" spans="2:3" x14ac:dyDescent="0.35">
      <c r="B14" s="7" t="s">
        <v>61</v>
      </c>
      <c r="C14" s="17">
        <v>50350</v>
      </c>
    </row>
    <row r="15" spans="2:3" x14ac:dyDescent="0.35">
      <c r="B15" s="7" t="s">
        <v>19</v>
      </c>
      <c r="C15" s="17">
        <v>55385</v>
      </c>
    </row>
    <row r="16" spans="2:3" x14ac:dyDescent="0.35">
      <c r="B16" s="7" t="s">
        <v>62</v>
      </c>
      <c r="C16" s="17">
        <v>0</v>
      </c>
    </row>
    <row r="17" spans="2:3" x14ac:dyDescent="0.35">
      <c r="B17" s="7" t="s">
        <v>22</v>
      </c>
      <c r="C17" s="17">
        <v>503500</v>
      </c>
    </row>
    <row r="18" spans="2:3" x14ac:dyDescent="0.35">
      <c r="B18" s="7" t="s">
        <v>65</v>
      </c>
      <c r="C18" s="17">
        <v>0</v>
      </c>
    </row>
    <row r="19" spans="2:3" x14ac:dyDescent="0.35">
      <c r="B19" s="7" t="s">
        <v>64</v>
      </c>
      <c r="C19" s="17">
        <v>0</v>
      </c>
    </row>
    <row r="20" spans="2:3" x14ac:dyDescent="0.35">
      <c r="B20" s="7" t="s">
        <v>66</v>
      </c>
      <c r="C20" s="17">
        <v>0</v>
      </c>
    </row>
    <row r="21" spans="2:3" x14ac:dyDescent="0.35">
      <c r="B21" s="7" t="s">
        <v>38</v>
      </c>
      <c r="C21" s="17">
        <v>659585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 - START HERE</vt:lpstr>
      <vt:lpstr>DAA Media Plan</vt:lpstr>
      <vt:lpstr>DAA Program Threshold</vt:lpstr>
      <vt:lpstr>Pivot Data</vt:lpstr>
    </vt:vector>
  </TitlesOfParts>
  <Company>Amazon Corporate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Pollock, Justin</dc:creator>
  <cp:lastModifiedBy>Yang, Sean</cp:lastModifiedBy>
  <dcterms:created xsi:type="dcterms:W3CDTF">2019-10-31T02:46:13Z</dcterms:created>
  <dcterms:modified xsi:type="dcterms:W3CDTF">2025-11-19T04:50:12Z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2025-08-28T22:30:19Z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dd6e7b53-e5cb-4ba9-9d5c-7d5b894c6c6d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